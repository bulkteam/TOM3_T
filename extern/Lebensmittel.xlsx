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Wer-zu-Wem Branchenliste" sheetId="1" state="visible" r:id="rId2"/>
  </sheets>
  <definedNames/>
  <calcPr iterateCount="100" refMode="A1" iterate="false" iterateDelta="0.001"/>
</workbook>
</file>

<file path=xl/styles.xml><?xml version="1.0" encoding="utf-8"?>
<styleSheet xmlns="http://schemas.openxmlformats.org/spreadsheetml/2006/main">
  <numFmts count="1">
    <numFmt numFmtId="164" formatCode="GENERAL"/>
  </numFmts>
  <fonts count="5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2"/>
      <sz val="10"/>
      <b val="true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2">
    <xf applyAlignment="false" applyBorder="false" applyFont="true" applyProtection="false" borderId="0" fillId="0" fontId="0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4" numFmtId="164" xfId="0">
      <alignment horizontal="general" vertical="bottom" textRotation="0" wrapText="false" indent="0" shrinkToFit="false"/>
      <protection locked="true" hidden="false"/>
    </xf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BL11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4" min="1" style="0" customWidth="false" width="11.5"/>
  </cols>
  <sheetData>
    <row collapsed="" customFormat="false" customHeight="" hidden="" ht="12.1" outlineLevel="0" r="1">
      <c r="A1" s="1" t="inlineStr">
        <is>
          <t>Zentrale</t>
        </is>
      </c>
      <c r="B1" s="1" t="inlineStr">
        <is>
          <t>FirmaPDF</t>
        </is>
      </c>
      <c r="C1" s="1" t="inlineStr">
        <is>
          <t>Sektor</t>
        </is>
      </c>
      <c r="D1" s="1" t="inlineStr">
        <is>
          <t>Oberkategorie</t>
        </is>
      </c>
      <c r="E1" s="1" t="inlineStr">
        <is>
          <t>Kategorie</t>
        </is>
      </c>
      <c r="F1" s="1" t="inlineStr">
        <is>
          <t>Namen</t>
        </is>
      </c>
      <c r="G1" s="1" t="inlineStr">
        <is>
          <t>Firma1</t>
        </is>
      </c>
      <c r="H1" s="1" t="inlineStr">
        <is>
          <t>Firma2</t>
        </is>
      </c>
      <c r="I1" s="1" t="inlineStr">
        <is>
          <t>Strasse</t>
        </is>
      </c>
      <c r="J1" s="1" t="inlineStr">
        <is>
          <t>PLZ</t>
        </is>
      </c>
      <c r="K1" s="1" t="inlineStr">
        <is>
          <t>Ort</t>
        </is>
      </c>
      <c r="L1" s="1" t="inlineStr">
        <is>
          <t>Telefon</t>
        </is>
      </c>
      <c r="M1" s="1" t="inlineStr">
        <is>
          <t>Fax</t>
        </is>
      </c>
      <c r="N1" s="1" t="inlineStr">
        <is>
          <t>GF1Anrede</t>
        </is>
      </c>
      <c r="O1" s="1" t="inlineStr">
        <is>
          <t>GF1Titel</t>
        </is>
      </c>
      <c r="P1" s="1" t="inlineStr">
        <is>
          <t>GF1Vorname</t>
        </is>
      </c>
      <c r="Q1" s="1" t="inlineStr">
        <is>
          <t>GF1Name</t>
        </is>
      </c>
      <c r="R1" s="1" t="inlineStr">
        <is>
          <t>GF2Anrede</t>
        </is>
      </c>
      <c r="S1" s="1" t="inlineStr">
        <is>
          <t>GF2Titel</t>
        </is>
      </c>
      <c r="T1" s="1" t="inlineStr">
        <is>
          <t>GF2Vorname</t>
        </is>
      </c>
      <c r="U1" s="1" t="inlineStr">
        <is>
          <t>GF2Name</t>
        </is>
      </c>
      <c r="V1" s="1" t="inlineStr">
        <is>
          <t>GF3Anrede</t>
        </is>
      </c>
      <c r="W1" s="1" t="inlineStr">
        <is>
          <t>GF3Titel</t>
        </is>
      </c>
      <c r="X1" s="1" t="inlineStr">
        <is>
          <t>GF3Vorname</t>
        </is>
      </c>
      <c r="Y1" s="1" t="inlineStr">
        <is>
          <t>GF3Name</t>
        </is>
      </c>
      <c r="Z1" s="1" t="inlineStr">
        <is>
          <t>GF4Anrede</t>
        </is>
      </c>
      <c r="AA1" s="1" t="inlineStr">
        <is>
          <t>GF4Titel</t>
        </is>
      </c>
      <c r="AB1" s="1" t="inlineStr">
        <is>
          <t>GF4Vorname</t>
        </is>
      </c>
      <c r="AC1" s="1" t="inlineStr">
        <is>
          <t>GF4Name</t>
        </is>
      </c>
      <c r="AD1" s="1" t="inlineStr">
        <is>
          <t>GF5Anrede</t>
        </is>
      </c>
      <c r="AE1" s="1" t="inlineStr">
        <is>
          <t>GF5Titel</t>
        </is>
      </c>
      <c r="AF1" s="1" t="inlineStr">
        <is>
          <t>GF5Vorname</t>
        </is>
      </c>
      <c r="AG1" s="1" t="inlineStr">
        <is>
          <t>GF5Name</t>
        </is>
      </c>
      <c r="AH1" s="1" t="inlineStr">
        <is>
          <t>GF6Anrede</t>
        </is>
      </c>
      <c r="AI1" s="1" t="inlineStr">
        <is>
          <t>GF6Titel</t>
        </is>
      </c>
      <c r="AJ1" s="1" t="inlineStr">
        <is>
          <t>GF6Vorname</t>
        </is>
      </c>
      <c r="AK1" s="1" t="inlineStr">
        <is>
          <t>GF6Name</t>
        </is>
      </c>
      <c r="AL1" s="1" t="inlineStr">
        <is>
          <t>EMail</t>
        </is>
      </c>
      <c r="AM1" s="1" t="inlineStr">
        <is>
          <t>URL</t>
        </is>
      </c>
      <c r="AN1" s="1" t="inlineStr">
        <is>
          <t>Verbund</t>
        </is>
      </c>
      <c r="AO1" s="1" t="inlineStr">
        <is>
          <t>Werbung</t>
        </is>
      </c>
      <c r="AP1" s="1" t="inlineStr">
        <is>
          <t>Gruppe</t>
        </is>
      </c>
      <c r="AQ1" s="1" t="inlineStr">
        <is>
          <t>Gruppenkriterium</t>
        </is>
      </c>
      <c r="AR1" s="1" t="inlineStr">
        <is>
          <t>Holding</t>
        </is>
      </c>
      <c r="AS1" s="1" t="inlineStr">
        <is>
          <t>GegruendetJahr</t>
        </is>
      </c>
      <c r="AT1" s="1" t="inlineStr">
        <is>
          <t>WKN</t>
        </is>
      </c>
      <c r="AU1" s="1" t="inlineStr">
        <is>
          <t>UIN</t>
        </is>
      </c>
      <c r="AV1" s="1" t="inlineStr">
        <is>
          <t>AnzahlJobs</t>
        </is>
      </c>
      <c r="AW1" s="1" t="inlineStr">
        <is>
          <t>Standorte</t>
        </is>
      </c>
      <c r="AX1" s="1" t="inlineStr">
        <is>
          <t>MAKlasse</t>
        </is>
      </c>
      <c r="AY1" s="1" t="inlineStr">
        <is>
          <t>MANational</t>
        </is>
      </c>
      <c r="AZ1" s="1" t="inlineStr">
        <is>
          <t>UmsatzKlasse</t>
        </is>
      </c>
      <c r="BA1" s="1" t="inlineStr">
        <is>
          <t>Umsatz</t>
        </is>
      </c>
      <c r="BB1" s="1" t="inlineStr">
        <is>
          <t>Basis</t>
        </is>
      </c>
      <c r="BC1" s="1" t="inlineStr">
        <is>
          <t>Jahr</t>
        </is>
      </c>
      <c r="BD1" s="1" t="inlineStr">
        <is>
          <t>Index</t>
        </is>
      </c>
      <c r="BE1" s="1" t="inlineStr">
        <is>
          <t>EUCode</t>
        </is>
      </c>
      <c r="BF1" s="1" t="inlineStr">
        <is>
          <t>Bundesland</t>
        </is>
      </c>
      <c r="BG1" s="1" t="inlineStr">
        <is>
          <t>Regierungsbezirk</t>
        </is>
      </c>
      <c r="BH1" s="1" t="inlineStr">
        <is>
          <t>Kreis</t>
        </is>
      </c>
      <c r="BI1" s="1" t="inlineStr">
        <is>
          <t>Zusatz1</t>
        </is>
      </c>
      <c r="BJ1" s="1" t="inlineStr">
        <is>
          <t>Zusatz2</t>
        </is>
      </c>
      <c r="BK1" s="1" t="inlineStr">
        <is>
          <t>wzwLinkCRM</t>
        </is>
      </c>
      <c r="BL1" s="1" t="inlineStr">
        <is>
          <t>internalID</t>
        </is>
      </c>
    </row>
    <row collapsed="false" customFormat="false" customHeight="false" hidden="false" ht="12.1" outlineLevel="0" r="2">
      <c r="A2" s="0" t="inlineStr">
        <is>
          <t>Zentrale</t>
        </is>
      </c>
      <c r="B2" s="0" t="s">
        <f>=HYPERLINK("https://www.wer-zu-wem.de/firmenprofilzwischenseite/francia-mozzarella-6336-6781-3d80f75833.pdf", "francia-mozzarella")</f>
      </c>
      <c r="C2" s="0" t="inlineStr">
        <is>
          <t>Industrie</t>
        </is>
      </c>
      <c r="D2" s="0" t="inlineStr">
        <is>
          <t>Lebensmittelindustrie</t>
        </is>
      </c>
      <c r="E2" s="0" t="inlineStr">
        <is>
          <t>Molkereien</t>
        </is>
      </c>
      <c r="F2" s="0" t="inlineStr">
        <is>
          <t>Francia Mozzarella</t>
        </is>
      </c>
      <c r="G2" s="0" t="inlineStr">
        <is>
          <t>Francia Mozzarella GmbH</t>
        </is>
      </c>
      <c r="H2" s="0"/>
      <c r="I2" s="0" t="inlineStr">
        <is>
          <t>Volkmarstr. 9-11</t>
        </is>
      </c>
      <c r="J2" s="0" t="n">
        <v>12099</v>
      </c>
      <c r="K2" s="0" t="inlineStr">
        <is>
          <t>Berlin</t>
        </is>
      </c>
      <c r="L2" s="0" t="inlineStr">
        <is>
          <t>030-701736-6</t>
        </is>
      </c>
      <c r="M2" s="0" t="inlineStr">
        <is>
          <t>030-70178572</t>
        </is>
      </c>
      <c r="N2" s="0" t="inlineStr">
        <is>
          <t>Herr</t>
        </is>
      </c>
      <c r="O2" s="0"/>
      <c r="P2" s="0" t="inlineStr">
        <is>
          <t>Valter</t>
        </is>
      </c>
      <c r="Q2" s="0" t="inlineStr">
        <is>
          <t>Francia</t>
        </is>
      </c>
      <c r="R2" s="0"/>
      <c r="S2" s="0"/>
      <c r="T2" s="0"/>
      <c r="U2" s="0"/>
      <c r="V2" s="0"/>
      <c r="W2" s="0"/>
      <c r="X2" s="0"/>
      <c r="Y2" s="0"/>
      <c r="Z2" s="0"/>
      <c r="AA2" s="0"/>
      <c r="AB2" s="0"/>
      <c r="AC2" s="0"/>
      <c r="AD2" s="0"/>
      <c r="AE2" s="0"/>
      <c r="AF2" s="0"/>
      <c r="AG2" s="0"/>
      <c r="AH2" s="0"/>
      <c r="AI2" s="0"/>
      <c r="AJ2" s="0"/>
      <c r="AK2" s="0"/>
      <c r="AL2" s="0" t="inlineStr">
        <is>
          <t>info@franciamozzarella.com</t>
        </is>
      </c>
      <c r="AM2" s="0" t="s">
        <f>=HYPERLINK("https://www.francialatticini.it/de/", "https://www.francialatticini.it/de/")</f>
      </c>
      <c r="AN2" s="0"/>
      <c r="AO2" s="0"/>
      <c r="AP2" s="0" t="inlineStr">
        <is>
          <t>Gruppe Francia (Italien)</t>
        </is>
      </c>
      <c r="AQ2" s="0" t="inlineStr">
        <is>
          <t>Familien</t>
        </is>
      </c>
      <c r="AR2" s="0"/>
      <c r="AS2" s="0" t="n">
        <v>1970</v>
      </c>
      <c r="AT2" s="0"/>
      <c r="AU2" s="0" t="inlineStr">
        <is>
          <t>DE811847047</t>
        </is>
      </c>
      <c r="AV2" s="0"/>
      <c r="AW2" s="0" t="n">
        <v>0</v>
      </c>
      <c r="AX2" s="0" t="inlineStr">
        <is>
          <t>G 50-99</t>
        </is>
      </c>
      <c r="AY2" s="0" t="n">
        <v>54</v>
      </c>
      <c r="AZ2" s="0" t="inlineStr">
        <is>
          <t>10 - 50</t>
        </is>
      </c>
      <c r="BA2" s="0" t="n">
        <v>0</v>
      </c>
      <c r="BB2" s="0"/>
      <c r="BC2" s="0"/>
      <c r="BD2" s="0" t="n">
        <v>6336</v>
      </c>
      <c r="BE2" s="0" t="inlineStr">
        <is>
          <t>DE3</t>
        </is>
      </c>
      <c r="BF2" s="0" t="inlineStr">
        <is>
          <t>Berlin</t>
        </is>
      </c>
      <c r="BG2" s="0"/>
      <c r="BH2" s="0" t="inlineStr">
        <is>
          <t>Berlin</t>
        </is>
      </c>
      <c r="BI2" s="0" t="inlineStr">
        <is>
          <t>Käserei</t>
        </is>
      </c>
      <c r="BJ2" s="0"/>
      <c r="BK2" s="0" t="s">
        <f>=HYPERLINK("https://www.wer-zu-wem.de/firmenprofilzwischenseite/francia-mozzarella-6336-6781-3d80f75833.pdf", "https://www.wer-zu-wem.de/firmenprofilzwischenseite/francia-mozzarella-6336-6781-3d80f75833.pdf")</f>
      </c>
      <c r="BL2" s="0" t="inlineStr">
        <is>
          <t>francia-mozzarella</t>
        </is>
      </c>
    </row>
    <row collapsed="false" customFormat="false" customHeight="false" hidden="false" ht="12.1" outlineLevel="0" r="3">
      <c r="A3" s="0" t="inlineStr">
        <is>
          <t>Zentrale</t>
        </is>
      </c>
      <c r="B3" s="0" t="s">
        <f>=HYPERLINK("https://www.wer-zu-wem.de/firmenprofilzwischenseite/uckermaerker-milch-14074-6781-3c7c222d66.pdf", "uckermaerker-milch")</f>
      </c>
      <c r="C3" s="0" t="inlineStr">
        <is>
          <t>Industrie</t>
        </is>
      </c>
      <c r="D3" s="0" t="inlineStr">
        <is>
          <t>Lebensmittelindustrie</t>
        </is>
      </c>
      <c r="E3" s="0" t="inlineStr">
        <is>
          <t>Molkereien</t>
        </is>
      </c>
      <c r="F3" s="0" t="inlineStr">
        <is>
          <t>Uckermärker Milch</t>
        </is>
      </c>
      <c r="G3" s="0" t="inlineStr">
        <is>
          <t>Uckermärker Milch GmbH</t>
        </is>
      </c>
      <c r="H3" s="0"/>
      <c r="I3" s="0" t="inlineStr">
        <is>
          <t>Brüssower Allee 85</t>
        </is>
      </c>
      <c r="J3" s="0" t="n">
        <v>17291</v>
      </c>
      <c r="K3" s="0" t="inlineStr">
        <is>
          <t>Prenzlau</t>
        </is>
      </c>
      <c r="L3" s="0" t="inlineStr">
        <is>
          <t>03984-850-0</t>
        </is>
      </c>
      <c r="M3" s="0" t="inlineStr">
        <is>
          <t>03984-850-256</t>
        </is>
      </c>
      <c r="N3" s="0" t="inlineStr">
        <is>
          <t>Herr</t>
        </is>
      </c>
      <c r="O3" s="0"/>
      <c r="P3" s="0" t="inlineStr">
        <is>
          <t>Jürgen</t>
        </is>
      </c>
      <c r="Q3" s="0" t="inlineStr">
        <is>
          <t>Stephani</t>
        </is>
      </c>
      <c r="R3" s="0" t="inlineStr">
        <is>
          <t>Herr</t>
        </is>
      </c>
      <c r="S3" s="0"/>
      <c r="T3" s="0" t="inlineStr">
        <is>
          <t>Herbert</t>
        </is>
      </c>
      <c r="U3" s="0" t="inlineStr">
        <is>
          <t>Deniffel</t>
        </is>
      </c>
      <c r="V3" s="0"/>
      <c r="W3" s="0"/>
      <c r="X3" s="0"/>
      <c r="Y3" s="0"/>
      <c r="Z3" s="0"/>
      <c r="AA3" s="0"/>
      <c r="AB3" s="0"/>
      <c r="AC3" s="0"/>
      <c r="AD3" s="0"/>
      <c r="AE3" s="0"/>
      <c r="AF3" s="0"/>
      <c r="AG3" s="0"/>
      <c r="AH3" s="0"/>
      <c r="AI3" s="0"/>
      <c r="AJ3" s="0"/>
      <c r="AK3" s="0"/>
      <c r="AL3" s="0" t="inlineStr">
        <is>
          <t>kontakt@uckermarkmilch.de</t>
        </is>
      </c>
      <c r="AM3" s="0" t="s">
        <f>=HYPERLINK("https://www.uckermarkmilch.de/", "https://www.uckermarkmilch.de/")</f>
      </c>
      <c r="AN3" s="0"/>
      <c r="AO3" s="0"/>
      <c r="AP3" s="0" t="inlineStr">
        <is>
          <t>Edeka Zentrale</t>
        </is>
      </c>
      <c r="AQ3" s="0" t="inlineStr">
        <is>
          <t>Genossenschaften</t>
        </is>
      </c>
      <c r="AR3" s="0"/>
      <c r="AS3" s="0" t="n">
        <v>1881</v>
      </c>
      <c r="AT3" s="0"/>
      <c r="AU3" s="0" t="inlineStr">
        <is>
          <t>DE814982803</t>
        </is>
      </c>
      <c r="AV3" s="0"/>
      <c r="AW3" s="0" t="n">
        <v>0</v>
      </c>
      <c r="AX3" s="0" t="inlineStr">
        <is>
          <t>F 100-249</t>
        </is>
      </c>
      <c r="AY3" s="0" t="n">
        <v>189</v>
      </c>
      <c r="AZ3" s="0" t="inlineStr">
        <is>
          <t>100 - 250</t>
        </is>
      </c>
      <c r="BA3" s="0" t="n">
        <v>0</v>
      </c>
      <c r="BB3" s="0"/>
      <c r="BC3" s="0"/>
      <c r="BD3" s="0" t="n">
        <v>14074</v>
      </c>
      <c r="BE3" s="0" t="inlineStr">
        <is>
          <t>DE418</t>
        </is>
      </c>
      <c r="BF3" s="0" t="inlineStr">
        <is>
          <t>Brandenburg</t>
        </is>
      </c>
      <c r="BG3" s="0"/>
      <c r="BH3" s="0" t="inlineStr">
        <is>
          <t>Uckermark</t>
        </is>
      </c>
      <c r="BI3" s="0" t="inlineStr">
        <is>
          <t>Molkerei</t>
        </is>
      </c>
      <c r="BJ3" s="0"/>
      <c r="BK3" s="0" t="s">
        <f>=HYPERLINK("https://www.wer-zu-wem.de/firmenprofilzwischenseite/uckermaerker-milch-14074-6781-3c7c222d66.pdf", "https://www.wer-zu-wem.de/firmenprofilzwischenseite/uckermaerker-milch-14074-6781-3c7c222d66.pdf")</f>
      </c>
      <c r="BL3" s="0" t="inlineStr">
        <is>
          <t>uckermaerker-milch</t>
        </is>
      </c>
    </row>
    <row collapsed="false" customFormat="false" customHeight="false" hidden="false" ht="12.1" outlineLevel="0" r="4">
      <c r="A4" s="0" t="inlineStr">
        <is>
          <t>Zentrale</t>
        </is>
      </c>
      <c r="B4" s="0" t="s">
        <f>=HYPERLINK("https://www.wer-zu-wem.de/firmenprofilzwischenseite/rhinmilch-17569-6781-05e028a7ab.pdf", "rhinmilch")</f>
      </c>
      <c r="C4" s="0" t="inlineStr">
        <is>
          <t>Industrie</t>
        </is>
      </c>
      <c r="D4" s="0" t="inlineStr">
        <is>
          <t>Lebensmittelindustrie</t>
        </is>
      </c>
      <c r="E4" s="0" t="inlineStr">
        <is>
          <t>Molkereien</t>
        </is>
      </c>
      <c r="F4" s="0" t="inlineStr">
        <is>
          <t>Rhinmilch</t>
        </is>
      </c>
      <c r="G4" s="0" t="inlineStr">
        <is>
          <t>Rhinmilch GmbH Agrargesellschaft</t>
        </is>
      </c>
      <c r="H4" s="0"/>
      <c r="I4" s="0" t="inlineStr">
        <is>
          <t>Betziner Weg 18</t>
        </is>
      </c>
      <c r="J4" s="0" t="n">
        <v>16833</v>
      </c>
      <c r="K4" s="0" t="inlineStr">
        <is>
          <t>Fehrbellin</t>
        </is>
      </c>
      <c r="L4" s="0" t="inlineStr">
        <is>
          <t>033932-5809-0</t>
        </is>
      </c>
      <c r="M4" s="0" t="inlineStr">
        <is>
          <t>033932-5809-50</t>
        </is>
      </c>
      <c r="N4" s="0" t="inlineStr">
        <is>
          <t>Herr</t>
        </is>
      </c>
      <c r="O4" s="0"/>
      <c r="P4" s="0" t="inlineStr">
        <is>
          <t>Hellmuth</t>
        </is>
      </c>
      <c r="Q4" s="0" t="inlineStr">
        <is>
          <t>Riestock</t>
        </is>
      </c>
      <c r="R4" s="0"/>
      <c r="S4" s="0"/>
      <c r="T4" s="0"/>
      <c r="U4" s="0"/>
      <c r="V4" s="0"/>
      <c r="W4" s="0"/>
      <c r="X4" s="0"/>
      <c r="Y4" s="0"/>
      <c r="Z4" s="0"/>
      <c r="AA4" s="0"/>
      <c r="AB4" s="0"/>
      <c r="AC4" s="0"/>
      <c r="AD4" s="0"/>
      <c r="AE4" s="0"/>
      <c r="AF4" s="0"/>
      <c r="AG4" s="0"/>
      <c r="AH4" s="0"/>
      <c r="AI4" s="0"/>
      <c r="AJ4" s="0"/>
      <c r="AK4" s="0"/>
      <c r="AL4" s="0" t="inlineStr">
        <is>
          <t>info@rhinmilch.de</t>
        </is>
      </c>
      <c r="AM4" s="0" t="s">
        <f>=HYPERLINK("https://www.rhinmilch.de/", "https://www.rhinmilch.de/")</f>
      </c>
      <c r="AN4" s="0"/>
      <c r="AO4" s="0"/>
      <c r="AP4" s="0" t="inlineStr">
        <is>
          <t>Agrar Fehrbellin</t>
        </is>
      </c>
      <c r="AQ4" s="0" t="inlineStr">
        <is>
          <t>Genossenschaften</t>
        </is>
      </c>
      <c r="AR4" s="0"/>
      <c r="AS4" s="0" t="n">
        <v>1990</v>
      </c>
      <c r="AT4" s="0"/>
      <c r="AU4" s="0" t="inlineStr">
        <is>
          <t>DE138672097</t>
        </is>
      </c>
      <c r="AV4" s="0"/>
      <c r="AW4" s="0" t="n">
        <v>0</v>
      </c>
      <c r="AX4" s="0" t="inlineStr">
        <is>
          <t>H 10-49</t>
        </is>
      </c>
      <c r="AY4" s="0" t="n">
        <v>32</v>
      </c>
      <c r="AZ4" s="0" t="inlineStr">
        <is>
          <t>10 - 50</t>
        </is>
      </c>
      <c r="BA4" s="0" t="n">
        <v>0</v>
      </c>
      <c r="BB4" s="0"/>
      <c r="BC4" s="0"/>
      <c r="BD4" s="0" t="n">
        <v>17569</v>
      </c>
      <c r="BE4" s="0" t="inlineStr">
        <is>
          <t>DE416</t>
        </is>
      </c>
      <c r="BF4" s="0" t="inlineStr">
        <is>
          <t>Brandenburg</t>
        </is>
      </c>
      <c r="BG4" s="0"/>
      <c r="BH4" s="0" t="inlineStr">
        <is>
          <t>Ostprignitz-Ruppin</t>
        </is>
      </c>
      <c r="BI4" s="0" t="inlineStr">
        <is>
          <t>Molkerei</t>
        </is>
      </c>
      <c r="BJ4" s="0"/>
      <c r="BK4" s="0" t="s">
        <f>=HYPERLINK("https://www.wer-zu-wem.de/firmenprofilzwischenseite/rhinmilch-17569-6781-05e028a7ab.pdf", "https://www.wer-zu-wem.de/firmenprofilzwischenseite/rhinmilch-17569-6781-05e028a7ab.pdf")</f>
      </c>
      <c r="BL4" s="0" t="inlineStr">
        <is>
          <t>rhinmilch</t>
        </is>
      </c>
    </row>
    <row collapsed="false" customFormat="false" customHeight="false" hidden="false" ht="12.1" outlineLevel="0" r="5">
      <c r="A5" s="0" t="inlineStr">
        <is>
          <t>Zentrale</t>
        </is>
      </c>
      <c r="B5" s="0" t="s">
        <f>=HYPERLINK("https://www.wer-zu-wem.de/firmenprofilzwischenseite/uckerkaas-54328-6781-985b8b8085.pdf", "uckerkaas")</f>
      </c>
      <c r="C5" s="0" t="inlineStr">
        <is>
          <t>Industrie</t>
        </is>
      </c>
      <c r="D5" s="0" t="inlineStr">
        <is>
          <t>Lebensmittelindustrie</t>
        </is>
      </c>
      <c r="E5" s="0" t="inlineStr">
        <is>
          <t>Molkereien</t>
        </is>
      </c>
      <c r="F5" s="0" t="inlineStr">
        <is>
          <t>Ucker Kas</t>
        </is>
      </c>
      <c r="G5" s="0" t="inlineStr">
        <is>
          <t>Bauernkäserei Wolters GmbH</t>
        </is>
      </c>
      <c r="H5" s="0"/>
      <c r="I5" s="0" t="inlineStr">
        <is>
          <t>Bandelow 50/81</t>
        </is>
      </c>
      <c r="J5" s="0" t="n">
        <v>17337</v>
      </c>
      <c r="K5" s="0" t="inlineStr">
        <is>
          <t>Uckerland</t>
        </is>
      </c>
      <c r="L5" s="0" t="inlineStr">
        <is>
          <t>039740-20572</t>
        </is>
      </c>
      <c r="M5" s="0" t="inlineStr">
        <is>
          <t>039740-20267</t>
        </is>
      </c>
      <c r="N5" s="0" t="inlineStr">
        <is>
          <t>Herr</t>
        </is>
      </c>
      <c r="O5" s="0"/>
      <c r="P5" s="0" t="inlineStr">
        <is>
          <t>Pieter</t>
        </is>
      </c>
      <c r="Q5" s="0" t="inlineStr">
        <is>
          <t>Wolters</t>
        </is>
      </c>
      <c r="R5" s="0" t="inlineStr">
        <is>
          <t>Herr</t>
        </is>
      </c>
      <c r="S5" s="0"/>
      <c r="T5" s="0" t="inlineStr">
        <is>
          <t>Andries</t>
        </is>
      </c>
      <c r="U5" s="0" t="inlineStr">
        <is>
          <t>Wolters</t>
        </is>
      </c>
      <c r="V5" s="0" t="inlineStr">
        <is>
          <t>Herr</t>
        </is>
      </c>
      <c r="W5" s="0"/>
      <c r="X5" s="0" t="inlineStr">
        <is>
          <t>Jacob</t>
        </is>
      </c>
      <c r="Y5" s="0" t="inlineStr">
        <is>
          <t>Wolters</t>
        </is>
      </c>
      <c r="Z5" s="0"/>
      <c r="AA5" s="0"/>
      <c r="AB5" s="0"/>
      <c r="AC5" s="0"/>
      <c r="AD5" s="0"/>
      <c r="AE5" s="0"/>
      <c r="AF5" s="0"/>
      <c r="AG5" s="0"/>
      <c r="AH5" s="0"/>
      <c r="AI5" s="0"/>
      <c r="AJ5" s="0"/>
      <c r="AK5" s="0"/>
      <c r="AL5" s="0" t="inlineStr">
        <is>
          <t>info@uckerkaas.de</t>
        </is>
      </c>
      <c r="AM5" s="0" t="s">
        <f>=HYPERLINK("https://www.q-regio.de/manufacturers/60-Bauernkaeserei-Wolters.html", "https://www.q-regio.de/manufacturers/60-Bauernkaeserei-Wolters.html")</f>
      </c>
      <c r="AN5" s="0"/>
      <c r="AO5" s="0"/>
      <c r="AP5" s="0" t="inlineStr">
        <is>
          <t>Wolters Bandelow Familie</t>
        </is>
      </c>
      <c r="AQ5" s="0" t="inlineStr">
        <is>
          <t>Familien</t>
        </is>
      </c>
      <c r="AR5" s="0"/>
      <c r="AS5" s="0" t="n">
        <v>1999</v>
      </c>
      <c r="AT5" s="0"/>
      <c r="AU5" s="0" t="inlineStr">
        <is>
          <t>DE812863038</t>
        </is>
      </c>
      <c r="AV5" s="0"/>
      <c r="AW5" s="0" t="n">
        <v>0</v>
      </c>
      <c r="AX5" s="0" t="inlineStr">
        <is>
          <t>H 10-49</t>
        </is>
      </c>
      <c r="AY5" s="0" t="n">
        <v>10</v>
      </c>
      <c r="AZ5" s="0" t="inlineStr">
        <is>
          <t>Bis 10</t>
        </is>
      </c>
      <c r="BA5" s="0" t="n">
        <v>0</v>
      </c>
      <c r="BB5" s="0"/>
      <c r="BC5" s="0"/>
      <c r="BD5" s="0" t="n">
        <v>54328</v>
      </c>
      <c r="BE5" s="0" t="inlineStr">
        <is>
          <t>DE418</t>
        </is>
      </c>
      <c r="BF5" s="0" t="inlineStr">
        <is>
          <t>Brandenburg</t>
        </is>
      </c>
      <c r="BG5" s="0"/>
      <c r="BH5" s="0" t="inlineStr">
        <is>
          <t>Uckermark</t>
        </is>
      </c>
      <c r="BI5" s="0" t="inlineStr">
        <is>
          <t>Käserei</t>
        </is>
      </c>
      <c r="BJ5" s="0"/>
      <c r="BK5" s="0" t="s">
        <f>=HYPERLINK("https://www.wer-zu-wem.de/firmenprofilzwischenseite/uckerkaas-54328-6781-985b8b8085.pdf", "https://www.wer-zu-wem.de/firmenprofilzwischenseite/uckerkaas-54328-6781-985b8b8085.pdf")</f>
      </c>
      <c r="BL5" s="0" t="inlineStr">
        <is>
          <t>uckerkaas</t>
        </is>
      </c>
    </row>
    <row collapsed="false" customFormat="false" customHeight="false" hidden="false" ht="12.1" outlineLevel="0" r="6">
      <c r="A6" s="0" t="inlineStr">
        <is>
          <t>Zentrale</t>
        </is>
      </c>
      <c r="B6" s="0" t="s">
        <f>=HYPERLINK("https://www.wer-zu-wem.de/firmenprofilzwischenseite/ostmilch-80192-6781-bcfd75cd98.pdf", "ostmilch")</f>
      </c>
      <c r="C6" s="0" t="inlineStr">
        <is>
          <t>Industrie</t>
        </is>
      </c>
      <c r="D6" s="0" t="inlineStr">
        <is>
          <t>Lebensmittelindustrie</t>
        </is>
      </c>
      <c r="E6" s="0" t="inlineStr">
        <is>
          <t>Molkereien</t>
        </is>
      </c>
      <c r="F6" s="0" t="inlineStr">
        <is>
          <t>Ostmilch Handel</t>
        </is>
      </c>
      <c r="G6" s="0" t="inlineStr">
        <is>
          <t>Ostmilch Handels GmbH</t>
        </is>
      </c>
      <c r="H6" s="0"/>
      <c r="I6" s="0" t="inlineStr">
        <is>
          <t>Kurfürstendamm 63</t>
        </is>
      </c>
      <c r="J6" s="0" t="n">
        <v>10707</v>
      </c>
      <c r="K6" s="0" t="inlineStr">
        <is>
          <t>Berlin</t>
        </is>
      </c>
      <c r="L6" s="0" t="inlineStr">
        <is>
          <t>030-3377398-0</t>
        </is>
      </c>
      <c r="M6" s="0" t="inlineStr">
        <is>
          <t>030-3377398-88</t>
        </is>
      </c>
      <c r="N6" s="0" t="inlineStr">
        <is>
          <t>Herr</t>
        </is>
      </c>
      <c r="O6" s="0"/>
      <c r="P6" s="0" t="inlineStr">
        <is>
          <t>Jens</t>
        </is>
      </c>
      <c r="Q6" s="0" t="inlineStr">
        <is>
          <t>Tützer</t>
        </is>
      </c>
      <c r="R6" s="0" t="inlineStr">
        <is>
          <t>Herr</t>
        </is>
      </c>
      <c r="S6" s="0"/>
      <c r="T6" s="0" t="inlineStr">
        <is>
          <t>Jürgen</t>
        </is>
      </c>
      <c r="U6" s="0" t="inlineStr">
        <is>
          <t>Stephani</t>
        </is>
      </c>
      <c r="V6" s="0"/>
      <c r="W6" s="0"/>
      <c r="X6" s="0"/>
      <c r="Y6" s="0"/>
      <c r="Z6" s="0"/>
      <c r="AA6" s="0"/>
      <c r="AB6" s="0"/>
      <c r="AC6" s="0"/>
      <c r="AD6" s="0"/>
      <c r="AE6" s="0"/>
      <c r="AF6" s="0"/>
      <c r="AG6" s="0"/>
      <c r="AH6" s="0"/>
      <c r="AI6" s="0"/>
      <c r="AJ6" s="0"/>
      <c r="AK6" s="0"/>
      <c r="AL6" s="0" t="inlineStr">
        <is>
          <t>info@ostmilch.com</t>
        </is>
      </c>
      <c r="AM6" s="0" t="s">
        <f>=HYPERLINK("https://www.ostmilch.com/", "https://www.ostmilch.com/")</f>
      </c>
      <c r="AN6" s="0"/>
      <c r="AO6" s="0"/>
      <c r="AP6" s="0" t="inlineStr">
        <is>
          <t>Ostmilch Handel Konsortium</t>
        </is>
      </c>
      <c r="AQ6" s="0" t="inlineStr">
        <is>
          <t>Kooperationen</t>
        </is>
      </c>
      <c r="AR6" s="0"/>
      <c r="AS6" s="0" t="n">
        <v>1925</v>
      </c>
      <c r="AT6" s="0"/>
      <c r="AU6" s="0" t="inlineStr">
        <is>
          <t>DE153346223</t>
        </is>
      </c>
      <c r="AV6" s="0" t="n">
        <v>1</v>
      </c>
      <c r="AW6" s="0" t="n">
        <v>0</v>
      </c>
      <c r="AX6" s="0" t="inlineStr">
        <is>
          <t>H 10-49</t>
        </is>
      </c>
      <c r="AY6" s="0" t="n">
        <v>19</v>
      </c>
      <c r="AZ6" s="0" t="inlineStr">
        <is>
          <t>250 - 500</t>
        </is>
      </c>
      <c r="BA6" s="0" t="n">
        <v>286</v>
      </c>
      <c r="BB6" s="0" t="inlineStr">
        <is>
          <t>Mio. EUR</t>
        </is>
      </c>
      <c r="BC6" s="0" t="n">
        <v>2018</v>
      </c>
      <c r="BD6" s="0" t="n">
        <v>80192</v>
      </c>
      <c r="BE6" s="0" t="inlineStr">
        <is>
          <t>DE3</t>
        </is>
      </c>
      <c r="BF6" s="0" t="inlineStr">
        <is>
          <t>Berlin</t>
        </is>
      </c>
      <c r="BG6" s="0"/>
      <c r="BH6" s="0" t="inlineStr">
        <is>
          <t>Berlin</t>
        </is>
      </c>
      <c r="BI6" s="0" t="inlineStr">
        <is>
          <t>Molkerei</t>
        </is>
      </c>
      <c r="BJ6" s="0"/>
      <c r="BK6" s="0" t="s">
        <f>=HYPERLINK("https://www.wer-zu-wem.de/firmenprofilzwischenseite/ostmilch-80192-6781-bcfd75cd98.pdf", "https://www.wer-zu-wem.de/firmenprofilzwischenseite/ostmilch-80192-6781-bcfd75cd98.pdf")</f>
      </c>
      <c r="BL6" s="0" t="inlineStr">
        <is>
          <t>ostmilch</t>
        </is>
      </c>
    </row>
    <row collapsed="false" customFormat="false" customHeight="false" hidden="false" ht="12.1" outlineLevel="0" r="7">
      <c r="A7" s="0" t="inlineStr">
        <is>
          <t>Zentrale</t>
        </is>
      </c>
      <c r="B7" s="0" t="s">
        <f>=HYPERLINK("https://www.wer-zu-wem.de/firmenprofilzwischenseite/fiorentino-174281-6781-f56075937a.pdf", "fiorentino")</f>
      </c>
      <c r="C7" s="0" t="inlineStr">
        <is>
          <t>Industrie</t>
        </is>
      </c>
      <c r="D7" s="0" t="inlineStr">
        <is>
          <t>Lebensmittelindustrie</t>
        </is>
      </c>
      <c r="E7" s="0" t="inlineStr">
        <is>
          <t>Molkereien</t>
        </is>
      </c>
      <c r="F7" s="0" t="inlineStr">
        <is>
          <t>Fiorentino Formaggi</t>
        </is>
      </c>
      <c r="G7" s="0" t="inlineStr">
        <is>
          <t>Fiorentino Formaggi GmbH</t>
        </is>
      </c>
      <c r="H7" s="0"/>
      <c r="I7" s="0" t="inlineStr">
        <is>
          <t>Beusselstr. 44n-q</t>
        </is>
      </c>
      <c r="J7" s="0" t="n">
        <v>10553</v>
      </c>
      <c r="K7" s="0" t="inlineStr">
        <is>
          <t>Berlin</t>
        </is>
      </c>
      <c r="L7" s="0" t="inlineStr">
        <is>
          <t>030-39404544</t>
        </is>
      </c>
      <c r="M7" s="0" t="inlineStr">
        <is>
          <t>030-39404547</t>
        </is>
      </c>
      <c r="N7" s="0" t="inlineStr">
        <is>
          <t>Herr</t>
        </is>
      </c>
      <c r="O7" s="0"/>
      <c r="P7" s="0" t="inlineStr">
        <is>
          <t>Domenico</t>
        </is>
      </c>
      <c r="Q7" s="0" t="inlineStr">
        <is>
          <t>Fiorentino</t>
        </is>
      </c>
      <c r="R7" s="0"/>
      <c r="S7" s="0"/>
      <c r="T7" s="0"/>
      <c r="U7" s="0"/>
      <c r="V7" s="0"/>
      <c r="W7" s="0"/>
      <c r="X7" s="0"/>
      <c r="Y7" s="0"/>
      <c r="Z7" s="0"/>
      <c r="AA7" s="0"/>
      <c r="AB7" s="0"/>
      <c r="AC7" s="0"/>
      <c r="AD7" s="0"/>
      <c r="AE7" s="0"/>
      <c r="AF7" s="0"/>
      <c r="AG7" s="0"/>
      <c r="AH7" s="0"/>
      <c r="AI7" s="0"/>
      <c r="AJ7" s="0"/>
      <c r="AK7" s="0"/>
      <c r="AL7" s="0" t="inlineStr">
        <is>
          <t>info@fiorentinoformaggi.com</t>
        </is>
      </c>
      <c r="AM7" s="0" t="s">
        <f>=HYPERLINK("http://www.fiorentinoformaggi.com/", "http://www.fiorentinoformaggi.com/")</f>
      </c>
      <c r="AN7" s="0"/>
      <c r="AO7" s="0"/>
      <c r="AP7" s="0" t="inlineStr">
        <is>
          <t>Domenico Fiorentino</t>
        </is>
      </c>
      <c r="AQ7" s="0" t="inlineStr">
        <is>
          <t>Familien</t>
        </is>
      </c>
      <c r="AR7" s="0"/>
      <c r="AS7" s="0"/>
      <c r="AT7" s="0"/>
      <c r="AU7" s="0"/>
      <c r="AV7" s="0"/>
      <c r="AW7" s="0" t="n">
        <v>0</v>
      </c>
      <c r="AX7" s="0" t="inlineStr">
        <is>
          <t>H 10-49</t>
        </is>
      </c>
      <c r="AY7" s="0" t="n">
        <v>14</v>
      </c>
      <c r="AZ7" s="0" t="inlineStr">
        <is>
          <t>Bis 10</t>
        </is>
      </c>
      <c r="BA7" s="0" t="n">
        <v>0</v>
      </c>
      <c r="BB7" s="0"/>
      <c r="BC7" s="0"/>
      <c r="BD7" s="0" t="n">
        <v>174281</v>
      </c>
      <c r="BE7" s="0" t="inlineStr">
        <is>
          <t>DE3</t>
        </is>
      </c>
      <c r="BF7" s="0" t="inlineStr">
        <is>
          <t>Berlin</t>
        </is>
      </c>
      <c r="BG7" s="0"/>
      <c r="BH7" s="0" t="inlineStr">
        <is>
          <t>Berlin</t>
        </is>
      </c>
      <c r="BI7" s="0"/>
      <c r="BJ7" s="0"/>
      <c r="BK7" s="0" t="s">
        <f>=HYPERLINK("https://www.wer-zu-wem.de/firmenprofilzwischenseite/fiorentino-174281-6781-f56075937a.pdf", "https://www.wer-zu-wem.de/firmenprofilzwischenseite/fiorentino-174281-6781-f56075937a.pdf")</f>
      </c>
      <c r="BL7" s="0" t="inlineStr">
        <is>
          <t>fiorentino</t>
        </is>
      </c>
    </row>
    <row collapsed="false" customFormat="false" customHeight="false" hidden="false" ht="12.1" outlineLevel="0" r="8">
      <c r="A8" s="0" t="inlineStr">
        <is>
          <t>Zentrale</t>
        </is>
      </c>
      <c r="B8" s="0" t="s">
        <f>=HYPERLINK("https://www.wer-zu-wem.de/firmenprofilzwischenseite/nordex-food-182379-6781-8a1f002f84.pdf", "nordex-food")</f>
      </c>
      <c r="C8" s="0" t="inlineStr">
        <is>
          <t>Industrie</t>
        </is>
      </c>
      <c r="D8" s="0" t="inlineStr">
        <is>
          <t>Lebensmittelindustrie</t>
        </is>
      </c>
      <c r="E8" s="0" t="inlineStr">
        <is>
          <t>Molkereien</t>
        </is>
      </c>
      <c r="F8" s="0" t="inlineStr">
        <is>
          <t>Nordex Food</t>
        </is>
      </c>
      <c r="G8" s="0" t="inlineStr">
        <is>
          <t>Nordex Food Deutschland GmbH</t>
        </is>
      </c>
      <c r="H8" s="0"/>
      <c r="I8" s="0" t="inlineStr">
        <is>
          <t>Kaiserin-Augusta-Allee 8</t>
        </is>
      </c>
      <c r="J8" s="0" t="n">
        <v>10553</v>
      </c>
      <c r="K8" s="0" t="inlineStr">
        <is>
          <t>Berlin</t>
        </is>
      </c>
      <c r="L8" s="0" t="inlineStr">
        <is>
          <t>030-40534152</t>
        </is>
      </c>
      <c r="M8" s="0" t="inlineStr">
        <is>
          <t>030-40571120</t>
        </is>
      </c>
      <c r="N8" s="0" t="inlineStr">
        <is>
          <t>Herr</t>
        </is>
      </c>
      <c r="O8" s="0"/>
      <c r="P8" s="0" t="inlineStr">
        <is>
          <t>Morten</t>
        </is>
      </c>
      <c r="Q8" s="0" t="inlineStr">
        <is>
          <t>Andreasen</t>
        </is>
      </c>
      <c r="R8" s="0" t="inlineStr">
        <is>
          <t>Herr</t>
        </is>
      </c>
      <c r="S8" s="0"/>
      <c r="T8" s="0" t="inlineStr">
        <is>
          <t>Martin</t>
        </is>
      </c>
      <c r="U8" s="0" t="inlineStr">
        <is>
          <t>Pedersen</t>
        </is>
      </c>
      <c r="V8" s="0"/>
      <c r="W8" s="0"/>
      <c r="X8" s="0"/>
      <c r="Y8" s="0"/>
      <c r="Z8" s="0"/>
      <c r="AA8" s="0"/>
      <c r="AB8" s="0"/>
      <c r="AC8" s="0"/>
      <c r="AD8" s="0"/>
      <c r="AE8" s="0"/>
      <c r="AF8" s="0"/>
      <c r="AG8" s="0"/>
      <c r="AH8" s="0"/>
      <c r="AI8" s="0"/>
      <c r="AJ8" s="0"/>
      <c r="AK8" s="0"/>
      <c r="AL8" s="0" t="inlineStr">
        <is>
          <t>office-berlin@nordex-food.de</t>
        </is>
      </c>
      <c r="AM8" s="0" t="s">
        <f>=HYPERLINK("https://nordexfood.dk/de/", "https://nordexfood.dk/de/")</f>
      </c>
      <c r="AN8" s="0"/>
      <c r="AO8" s="0"/>
      <c r="AP8" s="0" t="inlineStr">
        <is>
          <t>Nordex Holding (Dänemark)</t>
        </is>
      </c>
      <c r="AQ8" s="0" t="inlineStr">
        <is>
          <t>Sonstige</t>
        </is>
      </c>
      <c r="AR8" s="0"/>
      <c r="AS8" s="0"/>
      <c r="AT8" s="0"/>
      <c r="AU8" s="0"/>
      <c r="AV8" s="0"/>
      <c r="AW8" s="0" t="n">
        <v>0</v>
      </c>
      <c r="AX8" s="0" t="inlineStr">
        <is>
          <t>H 10-49</t>
        </is>
      </c>
      <c r="AY8" s="0" t="n">
        <v>19</v>
      </c>
      <c r="AZ8" s="0" t="inlineStr">
        <is>
          <t>10 - 50</t>
        </is>
      </c>
      <c r="BA8" s="0" t="n">
        <v>0</v>
      </c>
      <c r="BB8" s="0"/>
      <c r="BC8" s="0"/>
      <c r="BD8" s="0" t="n">
        <v>182379</v>
      </c>
      <c r="BE8" s="0" t="inlineStr">
        <is>
          <t>DE3</t>
        </is>
      </c>
      <c r="BF8" s="0" t="inlineStr">
        <is>
          <t>Berlin</t>
        </is>
      </c>
      <c r="BG8" s="0"/>
      <c r="BH8" s="0" t="inlineStr">
        <is>
          <t>Berlin</t>
        </is>
      </c>
      <c r="BI8" s="0"/>
      <c r="BJ8" s="0"/>
      <c r="BK8" s="0" t="s">
        <f>=HYPERLINK("https://www.wer-zu-wem.de/firmenprofilzwischenseite/nordex-food-182379-6781-8a1f002f84.pdf", "https://www.wer-zu-wem.de/firmenprofilzwischenseite/nordex-food-182379-6781-8a1f002f84.pdf")</f>
      </c>
      <c r="BL8" s="0" t="inlineStr">
        <is>
          <t>nordex-food</t>
        </is>
      </c>
    </row>
    <row collapsed="false" customFormat="false" customHeight="false" hidden="false" ht="12.1" outlineLevel="0" r="9">
      <c r="A9" s="0" t="inlineStr">
        <is>
          <t>Zentrale</t>
        </is>
      </c>
      <c r="B9" s="0" t="s">
        <f>=HYPERLINK("https://www.wer-zu-wem.de/firmenprofilzwischenseite/7guen-183644-6781-35bec59a7f.pdf", "7guen")</f>
      </c>
      <c r="C9" s="0" t="inlineStr">
        <is>
          <t>Industrie</t>
        </is>
      </c>
      <c r="D9" s="0" t="inlineStr">
        <is>
          <t>Lebensmittelindustrie</t>
        </is>
      </c>
      <c r="E9" s="0" t="inlineStr">
        <is>
          <t>Molkereien</t>
        </is>
      </c>
      <c r="F9" s="0" t="inlineStr">
        <is>
          <t>7gün</t>
        </is>
      </c>
      <c r="G9" s="0" t="inlineStr">
        <is>
          <t>Özcan Getränke GmbH</t>
        </is>
      </c>
      <c r="H9" s="0"/>
      <c r="I9" s="0" t="inlineStr">
        <is>
          <t>Rauchstr. 55</t>
        </is>
      </c>
      <c r="J9" s="0" t="n">
        <v>13587</v>
      </c>
      <c r="K9" s="0" t="inlineStr">
        <is>
          <t>Berlin</t>
        </is>
      </c>
      <c r="L9" s="0" t="inlineStr">
        <is>
          <t>030-33506623</t>
        </is>
      </c>
      <c r="M9" s="0" t="inlineStr">
        <is>
          <t>030-33506624</t>
        </is>
      </c>
      <c r="N9" s="0" t="inlineStr">
        <is>
          <t>Herr</t>
        </is>
      </c>
      <c r="O9" s="0"/>
      <c r="P9" s="0" t="inlineStr">
        <is>
          <t>Mehmet</t>
        </is>
      </c>
      <c r="Q9" s="0" t="inlineStr">
        <is>
          <t>Özcan</t>
        </is>
      </c>
      <c r="R9" s="0" t="inlineStr">
        <is>
          <t>Frau</t>
        </is>
      </c>
      <c r="S9" s="0"/>
      <c r="T9" s="0" t="inlineStr">
        <is>
          <t>Dilek</t>
        </is>
      </c>
      <c r="U9" s="0" t="inlineStr">
        <is>
          <t>Dönmez</t>
        </is>
      </c>
      <c r="V9" s="0"/>
      <c r="W9" s="0"/>
      <c r="X9" s="0"/>
      <c r="Y9" s="0"/>
      <c r="Z9" s="0"/>
      <c r="AA9" s="0"/>
      <c r="AB9" s="0"/>
      <c r="AC9" s="0"/>
      <c r="AD9" s="0"/>
      <c r="AE9" s="0"/>
      <c r="AF9" s="0"/>
      <c r="AG9" s="0"/>
      <c r="AH9" s="0"/>
      <c r="AI9" s="0"/>
      <c r="AJ9" s="0"/>
      <c r="AK9" s="0"/>
      <c r="AL9" s="0" t="inlineStr">
        <is>
          <t>info@7guen.com</t>
        </is>
      </c>
      <c r="AM9" s="0" t="s">
        <f>=HYPERLINK("https://www.7guen.com/", "https://www.7guen.com/")</f>
      </c>
      <c r="AN9" s="0"/>
      <c r="AO9" s="0"/>
      <c r="AP9" s="0" t="inlineStr">
        <is>
          <t>Mehmet Özcan</t>
        </is>
      </c>
      <c r="AQ9" s="0" t="inlineStr">
        <is>
          <t>Familien</t>
        </is>
      </c>
      <c r="AR9" s="0"/>
      <c r="AS9" s="0" t="n">
        <v>1989</v>
      </c>
      <c r="AT9" s="0"/>
      <c r="AU9" s="0" t="inlineStr">
        <is>
          <t>DE253444121</t>
        </is>
      </c>
      <c r="AV9" s="0"/>
      <c r="AW9" s="0" t="n">
        <v>0</v>
      </c>
      <c r="AX9" s="0" t="inlineStr">
        <is>
          <t>H 10-49</t>
        </is>
      </c>
      <c r="AY9" s="0" t="n">
        <v>26</v>
      </c>
      <c r="AZ9" s="0" t="inlineStr">
        <is>
          <t>10 - 50</t>
        </is>
      </c>
      <c r="BA9" s="0" t="n">
        <v>0</v>
      </c>
      <c r="BB9" s="0"/>
      <c r="BC9" s="0"/>
      <c r="BD9" s="0" t="n">
        <v>183644</v>
      </c>
      <c r="BE9" s="0" t="inlineStr">
        <is>
          <t>DE3</t>
        </is>
      </c>
      <c r="BF9" s="0" t="inlineStr">
        <is>
          <t>Berlin</t>
        </is>
      </c>
      <c r="BG9" s="0"/>
      <c r="BH9" s="0" t="inlineStr">
        <is>
          <t>Berlin</t>
        </is>
      </c>
      <c r="BI9" s="0"/>
      <c r="BJ9" s="0"/>
      <c r="BK9" s="0" t="s">
        <f>=HYPERLINK("https://www.wer-zu-wem.de/firmenprofilzwischenseite/7guen-183644-6781-35bec59a7f.pdf", "https://www.wer-zu-wem.de/firmenprofilzwischenseite/7guen-183644-6781-35bec59a7f.pdf")</f>
      </c>
      <c r="BL9" s="0" t="inlineStr">
        <is>
          <t>7guen</t>
        </is>
      </c>
    </row>
    <row collapsed="false" customFormat="false" customHeight="false" hidden="false" ht="12.1" outlineLevel="0" r="10">
      <c r="A10" s="0" t="inlineStr">
        <is>
          <t>Zentrale</t>
        </is>
      </c>
      <c r="B10" s="0" t="s">
        <f>=HYPERLINK("https://www.wer-zu-wem.de/firmenprofilzwischenseite/mondarella-201790-6781-53d7ac0fb1.pdf", "mondarella")</f>
      </c>
      <c r="C10" s="0" t="inlineStr">
        <is>
          <t>Industrie</t>
        </is>
      </c>
      <c r="D10" s="0" t="inlineStr">
        <is>
          <t>Lebensmittelindustrie</t>
        </is>
      </c>
      <c r="E10" s="0" t="inlineStr">
        <is>
          <t>Molkereien</t>
        </is>
      </c>
      <c r="F10" s="0" t="inlineStr">
        <is>
          <t>Mondarella</t>
        </is>
      </c>
      <c r="G10" s="0" t="inlineStr">
        <is>
          <t>Mondarella GmbH</t>
        </is>
      </c>
      <c r="H10" s="0"/>
      <c r="I10" s="0" t="inlineStr">
        <is>
          <t>Schröderstr. 1</t>
        </is>
      </c>
      <c r="J10" s="0" t="n">
        <v>10115</v>
      </c>
      <c r="K10" s="0" t="inlineStr">
        <is>
          <t>Berlin</t>
        </is>
      </c>
      <c r="L10" s="0" t="inlineStr">
        <is>
          <t>030-80098902</t>
        </is>
      </c>
      <c r="M10" s="0"/>
      <c r="N10" s="0" t="inlineStr">
        <is>
          <t>Herr</t>
        </is>
      </c>
      <c r="O10" s="0"/>
      <c r="P10" s="0" t="inlineStr">
        <is>
          <t>Frank</t>
        </is>
      </c>
      <c r="Q10" s="0" t="inlineStr">
        <is>
          <t>Riedel</t>
        </is>
      </c>
      <c r="R10" s="0" t="inlineStr">
        <is>
          <t>Herr</t>
        </is>
      </c>
      <c r="S10" s="0"/>
      <c r="T10" s="0" t="inlineStr">
        <is>
          <t>Ludovic Michel Rene</t>
        </is>
      </c>
      <c r="U10" s="0" t="inlineStr">
        <is>
          <t>Reysset</t>
        </is>
      </c>
      <c r="V10" s="0"/>
      <c r="W10" s="0"/>
      <c r="X10" s="0"/>
      <c r="Y10" s="0"/>
      <c r="Z10" s="0"/>
      <c r="AA10" s="0"/>
      <c r="AB10" s="0"/>
      <c r="AC10" s="0"/>
      <c r="AD10" s="0"/>
      <c r="AE10" s="0"/>
      <c r="AF10" s="0"/>
      <c r="AG10" s="0"/>
      <c r="AH10" s="0"/>
      <c r="AI10" s="0"/>
      <c r="AJ10" s="0"/>
      <c r="AK10" s="0"/>
      <c r="AL10" s="0" t="inlineStr">
        <is>
          <t>info@mondarella.eu</t>
        </is>
      </c>
      <c r="AM10" s="0" t="s">
        <f>=HYPERLINK("https://mondarella.eu/", "https://mondarella.eu/")</f>
      </c>
      <c r="AN10" s="0"/>
      <c r="AO10" s="0" t="inlineStr">
        <is>
          <t>Nein</t>
        </is>
      </c>
      <c r="AP10" s="0" t="inlineStr">
        <is>
          <t>Frank Riedel u.a.</t>
        </is>
      </c>
      <c r="AQ10" s="0" t="inlineStr">
        <is>
          <t>Partner</t>
        </is>
      </c>
      <c r="AR10" s="0"/>
      <c r="AS10" s="0" t="n">
        <v>2021</v>
      </c>
      <c r="AT10" s="0"/>
      <c r="AU10" s="0" t="inlineStr">
        <is>
          <t>DE342635928</t>
        </is>
      </c>
      <c r="AV10" s="0"/>
      <c r="AW10" s="0" t="n">
        <v>0</v>
      </c>
      <c r="AX10" s="0" t="inlineStr">
        <is>
          <t>H 10-49</t>
        </is>
      </c>
      <c r="AY10" s="0" t="n">
        <v>0</v>
      </c>
      <c r="AZ10" s="0" t="inlineStr">
        <is>
          <t>Bis 10</t>
        </is>
      </c>
      <c r="BA10" s="0" t="n">
        <v>0</v>
      </c>
      <c r="BB10" s="0"/>
      <c r="BC10" s="0"/>
      <c r="BD10" s="0" t="n">
        <v>201790</v>
      </c>
      <c r="BE10" s="0" t="inlineStr">
        <is>
          <t>DE3</t>
        </is>
      </c>
      <c r="BF10" s="0" t="inlineStr">
        <is>
          <t>Berlin</t>
        </is>
      </c>
      <c r="BG10" s="0"/>
      <c r="BH10" s="0" t="inlineStr">
        <is>
          <t>Berlin</t>
        </is>
      </c>
      <c r="BI10" s="0"/>
      <c r="BJ10" s="0"/>
      <c r="BK10" s="0" t="s">
        <f>=HYPERLINK("https://www.wer-zu-wem.de/firmenprofilzwischenseite/mondarella-201790-6781-53d7ac0fb1.pdf", "https://www.wer-zu-wem.de/firmenprofilzwischenseite/mondarella-201790-6781-53d7ac0fb1.pdf")</f>
      </c>
      <c r="BL10" s="0" t="inlineStr">
        <is>
          <t>mondarella</t>
        </is>
      </c>
    </row>
    <row collapsed="false" customFormat="false" customHeight="false" hidden="false" ht="12.1" outlineLevel="0" r="11">
      <c r="A11" s="0" t="inlineStr">
        <is>
          <t>Zentrale</t>
        </is>
      </c>
      <c r="B11" s="0" t="s">
        <f>=HYPERLINK("https://www.wer-zu-wem.de/firmenprofilzwischenseite/milchmanufaktur-204686-6781-913b8e2635.pdf", "milchmanufaktur")</f>
      </c>
      <c r="C11" s="0" t="inlineStr">
        <is>
          <t>Industrie</t>
        </is>
      </c>
      <c r="D11" s="0" t="inlineStr">
        <is>
          <t>Lebensmittelindustrie</t>
        </is>
      </c>
      <c r="E11" s="0" t="inlineStr">
        <is>
          <t>Molkereien</t>
        </is>
      </c>
      <c r="F11" s="0" t="inlineStr">
        <is>
          <t>Luisenhof Milchmanufaktur</t>
        </is>
      </c>
      <c r="G11" s="0" t="inlineStr">
        <is>
          <t>Luisenhof Milchmanufaktur GmbH</t>
        </is>
      </c>
      <c r="H11" s="0"/>
      <c r="I11" s="0" t="inlineStr">
        <is>
          <t>Parkallee 1</t>
        </is>
      </c>
      <c r="J11" s="0" t="n">
        <v>16727</v>
      </c>
      <c r="K11" s="0" t="inlineStr">
        <is>
          <t>Velten</t>
        </is>
      </c>
      <c r="L11" s="0" t="inlineStr">
        <is>
          <t>03304-244310</t>
        </is>
      </c>
      <c r="M11" s="0"/>
      <c r="N11" s="0" t="inlineStr">
        <is>
          <t>Herr</t>
        </is>
      </c>
      <c r="O11" s="0"/>
      <c r="P11" s="0" t="inlineStr">
        <is>
          <t>Hubert</t>
        </is>
      </c>
      <c r="Q11" s="0" t="inlineStr">
        <is>
          <t>Böhmann</t>
        </is>
      </c>
      <c r="R11" s="0" t="inlineStr">
        <is>
          <t>Frau</t>
        </is>
      </c>
      <c r="S11" s="0" t="inlineStr">
        <is>
          <t>Dr.</t>
        </is>
      </c>
      <c r="T11" s="0" t="inlineStr">
        <is>
          <t>Kirsten</t>
        </is>
      </c>
      <c r="U11" s="0" t="inlineStr">
        <is>
          <t>Böhmann</t>
        </is>
      </c>
      <c r="V11" s="0" t="inlineStr">
        <is>
          <t>Herr</t>
        </is>
      </c>
      <c r="W11" s="0"/>
      <c r="X11" s="0" t="inlineStr">
        <is>
          <t>Hans</t>
        </is>
      </c>
      <c r="Y11" s="0" t="inlineStr">
        <is>
          <t>Reimers</t>
        </is>
      </c>
      <c r="Z11" s="0"/>
      <c r="AA11" s="0"/>
      <c r="AB11" s="0"/>
      <c r="AC11" s="0"/>
      <c r="AD11" s="0"/>
      <c r="AE11" s="0"/>
      <c r="AF11" s="0"/>
      <c r="AG11" s="0"/>
      <c r="AH11" s="0"/>
      <c r="AI11" s="0"/>
      <c r="AJ11" s="0"/>
      <c r="AK11" s="0"/>
      <c r="AL11" s="0" t="inlineStr">
        <is>
          <t>info@luisenhof-milchmanufaktur.de</t>
        </is>
      </c>
      <c r="AM11" s="0" t="s">
        <f>=HYPERLINK("https://milchmanufaktur.berlin/", "https://milchmanufaktur.berlin/")</f>
      </c>
      <c r="AN11" s="0"/>
      <c r="AO11" s="0" t="inlineStr">
        <is>
          <t>Nein</t>
        </is>
      </c>
      <c r="AP11" s="0" t="inlineStr">
        <is>
          <t>Familie Böhmann</t>
        </is>
      </c>
      <c r="AQ11" s="0" t="inlineStr">
        <is>
          <t>Familien</t>
        </is>
      </c>
      <c r="AR11" s="0"/>
      <c r="AS11" s="0"/>
      <c r="AT11" s="0"/>
      <c r="AU11" s="0"/>
      <c r="AV11" s="0"/>
      <c r="AW11" s="0" t="n">
        <v>0</v>
      </c>
      <c r="AX11" s="0" t="inlineStr">
        <is>
          <t>G 50-99</t>
        </is>
      </c>
      <c r="AY11" s="0" t="n">
        <v>52</v>
      </c>
      <c r="AZ11" s="0" t="inlineStr">
        <is>
          <t>10 - 50</t>
        </is>
      </c>
      <c r="BA11" s="0" t="n">
        <v>0</v>
      </c>
      <c r="BB11" s="0"/>
      <c r="BC11" s="0"/>
      <c r="BD11" s="0" t="n">
        <v>204686</v>
      </c>
      <c r="BE11" s="0" t="inlineStr">
        <is>
          <t>DE414</t>
        </is>
      </c>
      <c r="BF11" s="0" t="inlineStr">
        <is>
          <t>Brandenburg</t>
        </is>
      </c>
      <c r="BG11" s="0"/>
      <c r="BH11" s="0" t="inlineStr">
        <is>
          <t>Oberhavel</t>
        </is>
      </c>
      <c r="BI11" s="0"/>
      <c r="BJ11" s="0"/>
      <c r="BK11" s="0" t="s">
        <f>=HYPERLINK("https://www.wer-zu-wem.de/firmenprofilzwischenseite/milchmanufaktur-204686-6781-913b8e2635.pdf", "https://www.wer-zu-wem.de/firmenprofilzwischenseite/milchmanufaktur-204686-6781-913b8e2635.pdf")</f>
      </c>
      <c r="BL11" s="0" t="inlineStr">
        <is>
          <t>milchmanufaktur</t>
        </is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Company/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2026-01-02T18:21:03.00Z</dcterms:created>
  <dc:title/>
  <dc:subject/>
  <dc:creator/>
  <dc:description/>
  <cp:revision>0</cp:revision>
</cp:coreProperties>
</file>