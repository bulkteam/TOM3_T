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er-zu-Wem Branchenlist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L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" customFormat="false" customHeight="" hidden="" ht="12.1" outlineLevel="0" r="1">
      <c r="A1" s="1" t="inlineStr">
        <is>
          <t>Zentrale</t>
        </is>
      </c>
      <c r="B1" s="1" t="inlineStr">
        <is>
          <t>FirmaPDF</t>
        </is>
      </c>
      <c r="C1" s="1" t="inlineStr">
        <is>
          <t>Sektor</t>
        </is>
      </c>
      <c r="D1" s="1" t="inlineStr">
        <is>
          <t>Oberkategorie</t>
        </is>
      </c>
      <c r="E1" s="1" t="inlineStr">
        <is>
          <t>Kategorie</t>
        </is>
      </c>
      <c r="F1" s="1" t="inlineStr">
        <is>
          <t>Namen</t>
        </is>
      </c>
      <c r="G1" s="1" t="inlineStr">
        <is>
          <t>Firma1</t>
        </is>
      </c>
      <c r="H1" s="1" t="inlineStr">
        <is>
          <t>Firma2</t>
        </is>
      </c>
      <c r="I1" s="1" t="inlineStr">
        <is>
          <t>Strasse</t>
        </is>
      </c>
      <c r="J1" s="1" t="inlineStr">
        <is>
          <t>PLZ</t>
        </is>
      </c>
      <c r="K1" s="1" t="inlineStr">
        <is>
          <t>Ort</t>
        </is>
      </c>
      <c r="L1" s="1" t="inlineStr">
        <is>
          <t>Telefon</t>
        </is>
      </c>
      <c r="M1" s="1" t="inlineStr">
        <is>
          <t>Fax</t>
        </is>
      </c>
      <c r="N1" s="1" t="inlineStr">
        <is>
          <t>GF1Anrede</t>
        </is>
      </c>
      <c r="O1" s="1" t="inlineStr">
        <is>
          <t>GF1Titel</t>
        </is>
      </c>
      <c r="P1" s="1" t="inlineStr">
        <is>
          <t>GF1Vorname</t>
        </is>
      </c>
      <c r="Q1" s="1" t="inlineStr">
        <is>
          <t>GF1Name</t>
        </is>
      </c>
      <c r="R1" s="1" t="inlineStr">
        <is>
          <t>GF2Anrede</t>
        </is>
      </c>
      <c r="S1" s="1" t="inlineStr">
        <is>
          <t>GF2Titel</t>
        </is>
      </c>
      <c r="T1" s="1" t="inlineStr">
        <is>
          <t>GF2Vorname</t>
        </is>
      </c>
      <c r="U1" s="1" t="inlineStr">
        <is>
          <t>GF2Name</t>
        </is>
      </c>
      <c r="V1" s="1" t="inlineStr">
        <is>
          <t>GF3Anrede</t>
        </is>
      </c>
      <c r="W1" s="1" t="inlineStr">
        <is>
          <t>GF3Titel</t>
        </is>
      </c>
      <c r="X1" s="1" t="inlineStr">
        <is>
          <t>GF3Vorname</t>
        </is>
      </c>
      <c r="Y1" s="1" t="inlineStr">
        <is>
          <t>GF3Name</t>
        </is>
      </c>
      <c r="Z1" s="1" t="inlineStr">
        <is>
          <t>GF4Anrede</t>
        </is>
      </c>
      <c r="AA1" s="1" t="inlineStr">
        <is>
          <t>GF4Titel</t>
        </is>
      </c>
      <c r="AB1" s="1" t="inlineStr">
        <is>
          <t>GF4Vorname</t>
        </is>
      </c>
      <c r="AC1" s="1" t="inlineStr">
        <is>
          <t>GF4Name</t>
        </is>
      </c>
      <c r="AD1" s="1" t="inlineStr">
        <is>
          <t>GF5Anrede</t>
        </is>
      </c>
      <c r="AE1" s="1" t="inlineStr">
        <is>
          <t>GF5Titel</t>
        </is>
      </c>
      <c r="AF1" s="1" t="inlineStr">
        <is>
          <t>GF5Vorname</t>
        </is>
      </c>
      <c r="AG1" s="1" t="inlineStr">
        <is>
          <t>GF5Name</t>
        </is>
      </c>
      <c r="AH1" s="1" t="inlineStr">
        <is>
          <t>GF6Anrede</t>
        </is>
      </c>
      <c r="AI1" s="1" t="inlineStr">
        <is>
          <t>GF6Titel</t>
        </is>
      </c>
      <c r="AJ1" s="1" t="inlineStr">
        <is>
          <t>GF6Vorname</t>
        </is>
      </c>
      <c r="AK1" s="1" t="inlineStr">
        <is>
          <t>GF6Name</t>
        </is>
      </c>
      <c r="AL1" s="1" t="inlineStr">
        <is>
          <t>EMail</t>
        </is>
      </c>
      <c r="AM1" s="1" t="inlineStr">
        <is>
          <t>URL</t>
        </is>
      </c>
      <c r="AN1" s="1" t="inlineStr">
        <is>
          <t>Verbund</t>
        </is>
      </c>
      <c r="AO1" s="1" t="inlineStr">
        <is>
          <t>Werbung</t>
        </is>
      </c>
      <c r="AP1" s="1" t="inlineStr">
        <is>
          <t>Gruppe</t>
        </is>
      </c>
      <c r="AQ1" s="1" t="inlineStr">
        <is>
          <t>Gruppenkriterium</t>
        </is>
      </c>
      <c r="AR1" s="1" t="inlineStr">
        <is>
          <t>Holding</t>
        </is>
      </c>
      <c r="AS1" s="1" t="inlineStr">
        <is>
          <t>GegruendetJahr</t>
        </is>
      </c>
      <c r="AT1" s="1" t="inlineStr">
        <is>
          <t>WKN</t>
        </is>
      </c>
      <c r="AU1" s="1" t="inlineStr">
        <is>
          <t>UIN</t>
        </is>
      </c>
      <c r="AV1" s="1" t="inlineStr">
        <is>
          <t>AnzahlJobs</t>
        </is>
      </c>
      <c r="AW1" s="1" t="inlineStr">
        <is>
          <t>Standorte</t>
        </is>
      </c>
      <c r="AX1" s="1" t="inlineStr">
        <is>
          <t>MAKlasse</t>
        </is>
      </c>
      <c r="AY1" s="1" t="inlineStr">
        <is>
          <t>MANational</t>
        </is>
      </c>
      <c r="AZ1" s="1" t="inlineStr">
        <is>
          <t>UmsatzKlasse</t>
        </is>
      </c>
      <c r="BA1" s="1" t="inlineStr">
        <is>
          <t>Umsatz</t>
        </is>
      </c>
      <c r="BB1" s="1" t="inlineStr">
        <is>
          <t>Basis</t>
        </is>
      </c>
      <c r="BC1" s="1" t="inlineStr">
        <is>
          <t>Jahr</t>
        </is>
      </c>
      <c r="BD1" s="1" t="inlineStr">
        <is>
          <t>Index</t>
        </is>
      </c>
      <c r="BE1" s="1" t="inlineStr">
        <is>
          <t>EUCode</t>
        </is>
      </c>
      <c r="BF1" s="1" t="inlineStr">
        <is>
          <t>Bundesland</t>
        </is>
      </c>
      <c r="BG1" s="1" t="inlineStr">
        <is>
          <t>Regierungsbezirk</t>
        </is>
      </c>
      <c r="BH1" s="1" t="inlineStr">
        <is>
          <t>Kreis</t>
        </is>
      </c>
      <c r="BI1" s="1" t="inlineStr">
        <is>
          <t>Zusatz1</t>
        </is>
      </c>
      <c r="BJ1" s="1" t="inlineStr">
        <is>
          <t>Zusatz2</t>
        </is>
      </c>
      <c r="BK1" s="1" t="inlineStr">
        <is>
          <t>wzwLinkCRM</t>
        </is>
      </c>
      <c r="BL1" s="1" t="inlineStr">
        <is>
          <t>internalID</t>
        </is>
      </c>
    </row>
    <row collapsed="false" customFormat="false" customHeight="false" hidden="false" ht="12.1" outlineLevel="0" r="2">
      <c r="A2" s="0" t="inlineStr">
        <is>
          <t>Zentrale</t>
        </is>
      </c>
      <c r="B2" s="0" t="s">
        <f>=HYPERLINK("https://www.wer-zu-wem.de/firmenprofilzwischenseite/bergolin-15700-6781-ef16857ced.pdf", "bergolin")</f>
      </c>
      <c r="C2" s="0" t="inlineStr">
        <is>
          <t>Industrie</t>
        </is>
      </c>
      <c r="D2" s="0" t="inlineStr">
        <is>
          <t>Chemieindustrie</t>
        </is>
      </c>
      <c r="E2" s="0" t="inlineStr">
        <is>
          <t>Farbenhersteller</t>
        </is>
      </c>
      <c r="F2" s="0" t="inlineStr">
        <is>
          <t>Bergolin</t>
        </is>
      </c>
      <c r="G2" s="0" t="inlineStr">
        <is>
          <t>Bergolin GmbH &amp; Co. KG</t>
        </is>
      </c>
      <c r="H2" s="0"/>
      <c r="I2" s="0" t="inlineStr">
        <is>
          <t>Sachsenring 1</t>
        </is>
      </c>
      <c r="J2" s="0" t="n">
        <v>27711</v>
      </c>
      <c r="K2" s="0" t="inlineStr">
        <is>
          <t>Osterholz-Scharmbeck</t>
        </is>
      </c>
      <c r="L2" s="0" t="inlineStr">
        <is>
          <t>04795-95899-0</t>
        </is>
      </c>
      <c r="M2" s="0" t="inlineStr">
        <is>
          <t>04795-95899-170</t>
        </is>
      </c>
      <c r="N2" s="0" t="inlineStr">
        <is>
          <t>Herr</t>
        </is>
      </c>
      <c r="O2" s="0" t="inlineStr">
        <is>
          <t>Dr.</t>
        </is>
      </c>
      <c r="P2" s="0" t="inlineStr">
        <is>
          <t>Matthias</t>
        </is>
      </c>
      <c r="Q2" s="0" t="inlineStr">
        <is>
          <t>Otting</t>
        </is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 t="inlineStr">
        <is>
          <t>info@bergolin.de</t>
        </is>
      </c>
      <c r="AM2" s="0" t="s">
        <f>=HYPERLINK("https://www.bergolin.de/", "https://www.bergolin.de/")</f>
      </c>
      <c r="AN2" s="0"/>
      <c r="AO2" s="0"/>
      <c r="AP2" s="0" t="inlineStr">
        <is>
          <t>Jürgen Elbers</t>
        </is>
      </c>
      <c r="AQ2" s="0" t="inlineStr">
        <is>
          <t>Familien</t>
        </is>
      </c>
      <c r="AR2" s="0"/>
      <c r="AS2" s="0" t="n">
        <v>1909</v>
      </c>
      <c r="AT2" s="0"/>
      <c r="AU2" s="0" t="inlineStr">
        <is>
          <t>DE116257289</t>
        </is>
      </c>
      <c r="AV2" s="0" t="n">
        <v>1</v>
      </c>
      <c r="AW2" s="0" t="n">
        <v>0</v>
      </c>
      <c r="AX2" s="0" t="inlineStr">
        <is>
          <t>F 100-249</t>
        </is>
      </c>
      <c r="AY2" s="0" t="n">
        <v>114</v>
      </c>
      <c r="AZ2" s="0" t="inlineStr">
        <is>
          <t>10 - 50</t>
        </is>
      </c>
      <c r="BA2" s="0" t="n">
        <v>0</v>
      </c>
      <c r="BB2" s="0"/>
      <c r="BC2" s="0"/>
      <c r="BD2" s="0" t="n">
        <v>15700</v>
      </c>
      <c r="BE2" s="0" t="inlineStr">
        <is>
          <t>DE936</t>
        </is>
      </c>
      <c r="BF2" s="0" t="inlineStr">
        <is>
          <t>Niedersachsen</t>
        </is>
      </c>
      <c r="BG2" s="0"/>
      <c r="BH2" s="0" t="inlineStr">
        <is>
          <t>Osterholz</t>
        </is>
      </c>
      <c r="BI2" s="0"/>
      <c r="BJ2" s="0"/>
      <c r="BK2" s="0" t="s">
        <f>=HYPERLINK("https://www.wer-zu-wem.de/firmenprofilzwischenseite/bergolin-15700-6781-ef16857ced.pdf", "https://www.wer-zu-wem.de/firmenprofilzwischenseite/bergolin-15700-6781-ef16857ced.pdf")</f>
      </c>
      <c r="BL2" s="0" t="inlineStr">
        <is>
          <t>bergolin</t>
        </is>
      </c>
    </row>
    <row collapsed="false" customFormat="false" customHeight="false" hidden="false" ht="12.1" outlineLevel="0" r="3">
      <c r="A3" s="0" t="inlineStr">
        <is>
          <t>Zentrale</t>
        </is>
      </c>
      <c r="B3" s="0" t="s">
        <f>=HYPERLINK("https://www.wer-zu-wem.de/firmenprofilzwischenseite/jaenecke-schneemann-16377-6781-c16562e368.pdf", "jaenecke-schneemann")</f>
      </c>
      <c r="C3" s="0" t="inlineStr">
        <is>
          <t>Industrie</t>
        </is>
      </c>
      <c r="D3" s="0" t="inlineStr">
        <is>
          <t>Chemieindustrie</t>
        </is>
      </c>
      <c r="E3" s="0" t="inlineStr">
        <is>
          <t>Farbenhersteller</t>
        </is>
      </c>
      <c r="F3" s="0" t="inlineStr">
        <is>
          <t>Jänecke+Schneemann</t>
        </is>
      </c>
      <c r="G3" s="0" t="inlineStr">
        <is>
          <t>Jänecke + Schneemann Druckfarben GmbH</t>
        </is>
      </c>
      <c r="H3" s="0"/>
      <c r="I3" s="0" t="inlineStr">
        <is>
          <t>Hannoversche Str. 33</t>
        </is>
      </c>
      <c r="J3" s="0" t="n">
        <v>31319</v>
      </c>
      <c r="K3" s="0" t="inlineStr">
        <is>
          <t>Sehnde</t>
        </is>
      </c>
      <c r="L3" s="0" t="inlineStr">
        <is>
          <t>0511-5471-0</t>
        </is>
      </c>
      <c r="M3" s="0" t="inlineStr">
        <is>
          <t>0511-5471-211</t>
        </is>
      </c>
      <c r="N3" s="0" t="inlineStr">
        <is>
          <t>Herr</t>
        </is>
      </c>
      <c r="O3" s="0"/>
      <c r="P3" s="0" t="inlineStr">
        <is>
          <t>Christian</t>
        </is>
      </c>
      <c r="Q3" s="0" t="inlineStr">
        <is>
          <t>Jänecke</t>
        </is>
      </c>
      <c r="R3" s="0" t="inlineStr">
        <is>
          <t>Herr</t>
        </is>
      </c>
      <c r="S3" s="0"/>
      <c r="T3" s="0" t="inlineStr">
        <is>
          <t>Alexander</t>
        </is>
      </c>
      <c r="U3" s="0" t="inlineStr">
        <is>
          <t>Jänecke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 t="inlineStr">
        <is>
          <t>info@js-druckfarben.de</t>
        </is>
      </c>
      <c r="AM3" s="0" t="s">
        <f>=HYPERLINK("https://www.js-druckfarben.de/de/", "https://www.js-druckfarben.de/de/")</f>
      </c>
      <c r="AN3" s="0"/>
      <c r="AO3" s="0"/>
      <c r="AP3" s="0" t="inlineStr">
        <is>
          <t>Jänecke Familie</t>
        </is>
      </c>
      <c r="AQ3" s="0" t="inlineStr">
        <is>
          <t>Familien</t>
        </is>
      </c>
      <c r="AR3" s="0"/>
      <c r="AS3" s="0" t="n">
        <v>1843</v>
      </c>
      <c r="AT3" s="0"/>
      <c r="AU3" s="0" t="inlineStr">
        <is>
          <t>DE115694372</t>
        </is>
      </c>
      <c r="AV3" s="0"/>
      <c r="AW3" s="0" t="n">
        <v>0</v>
      </c>
      <c r="AX3" s="0" t="inlineStr">
        <is>
          <t>F 100-249</t>
        </is>
      </c>
      <c r="AY3" s="0" t="n">
        <v>150</v>
      </c>
      <c r="AZ3" s="0" t="inlineStr">
        <is>
          <t>10 - 50</t>
        </is>
      </c>
      <c r="BA3" s="0" t="n">
        <v>0</v>
      </c>
      <c r="BB3" s="0"/>
      <c r="BC3" s="0"/>
      <c r="BD3" s="0" t="n">
        <v>16377</v>
      </c>
      <c r="BE3" s="0" t="inlineStr">
        <is>
          <t>DE929</t>
        </is>
      </c>
      <c r="BF3" s="0" t="inlineStr">
        <is>
          <t>Niedersachsen</t>
        </is>
      </c>
      <c r="BG3" s="0"/>
      <c r="BH3" s="0" t="inlineStr">
        <is>
          <t>Hannover</t>
        </is>
      </c>
      <c r="BI3" s="0"/>
      <c r="BJ3" s="0"/>
      <c r="BK3" s="0" t="s">
        <f>=HYPERLINK("https://www.wer-zu-wem.de/firmenprofilzwischenseite/jaenecke-schneemann-16377-6781-c16562e368.pdf", "https://www.wer-zu-wem.de/firmenprofilzwischenseite/jaenecke-schneemann-16377-6781-c16562e368.pdf")</f>
      </c>
      <c r="BL3" s="0" t="inlineStr">
        <is>
          <t>jaenecke-schneemann</t>
        </is>
      </c>
    </row>
    <row collapsed="false" customFormat="false" customHeight="false" hidden="false" ht="12.1" outlineLevel="0" r="4">
      <c r="A4" s="0" t="inlineStr">
        <is>
          <t>Zentrale</t>
        </is>
      </c>
      <c r="B4" s="0" t="s">
        <f>=HYPERLINK("https://www.wer-zu-wem.de/firmenprofilzwischenseite/sun-chemical-29782-6781-457d2e5767.pdf", "sun-chemical")</f>
      </c>
      <c r="C4" s="0" t="inlineStr">
        <is>
          <t>Industrie</t>
        </is>
      </c>
      <c r="D4" s="0" t="inlineStr">
        <is>
          <t>Chemieindustrie</t>
        </is>
      </c>
      <c r="E4" s="0" t="inlineStr">
        <is>
          <t>Farbenhersteller</t>
        </is>
      </c>
      <c r="F4" s="0" t="inlineStr">
        <is>
          <t>Sun Chemical</t>
        </is>
      </c>
      <c r="G4" s="0" t="inlineStr">
        <is>
          <t>Sun Chemical GmbH</t>
        </is>
      </c>
      <c r="H4" s="0"/>
      <c r="I4" s="0" t="inlineStr">
        <is>
          <t>Rolandsweg 22-24</t>
        </is>
      </c>
      <c r="J4" s="0" t="n">
        <v>37520</v>
      </c>
      <c r="K4" s="0" t="inlineStr">
        <is>
          <t>Osterode am Harz</t>
        </is>
      </c>
      <c r="L4" s="0" t="inlineStr">
        <is>
          <t>05522-5070</t>
        </is>
      </c>
      <c r="M4" s="0" t="inlineStr">
        <is>
          <t>05522-860646</t>
        </is>
      </c>
      <c r="N4" s="0" t="inlineStr">
        <is>
          <t>Herr</t>
        </is>
      </c>
      <c r="O4" s="0"/>
      <c r="P4" s="0" t="inlineStr">
        <is>
          <t>Michael</t>
        </is>
      </c>
      <c r="Q4" s="0" t="inlineStr">
        <is>
          <t>Hirthammer</t>
        </is>
      </c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 t="inlineStr">
        <is>
          <t>regulatory.emsds@sunchemical.com</t>
        </is>
      </c>
      <c r="AM4" s="0" t="s">
        <f>=HYPERLINK("https://www.sunchemical.com/", "https://www.sunchemical.com/")</f>
      </c>
      <c r="AN4" s="0"/>
      <c r="AO4" s="0"/>
      <c r="AP4" s="0" t="inlineStr">
        <is>
          <t>DIC Group (Japan)</t>
        </is>
      </c>
      <c r="AQ4" s="0" t="inlineStr">
        <is>
          <t>Sonstige</t>
        </is>
      </c>
      <c r="AR4" s="0"/>
      <c r="AS4" s="0"/>
      <c r="AT4" s="0"/>
      <c r="AU4" s="0"/>
      <c r="AV4" s="0" t="n">
        <v>27</v>
      </c>
      <c r="AW4" s="0" t="n">
        <v>0</v>
      </c>
      <c r="AX4" s="0" t="inlineStr">
        <is>
          <t>D 500-999</t>
        </is>
      </c>
      <c r="AY4" s="0" t="n">
        <v>626</v>
      </c>
      <c r="AZ4" s="0" t="inlineStr">
        <is>
          <t>250 - 500</t>
        </is>
      </c>
      <c r="BA4" s="0" t="n">
        <v>0</v>
      </c>
      <c r="BB4" s="0"/>
      <c r="BC4" s="0"/>
      <c r="BD4" s="0" t="n">
        <v>29782</v>
      </c>
      <c r="BE4" s="0" t="inlineStr">
        <is>
          <t>DE915</t>
        </is>
      </c>
      <c r="BF4" s="0" t="inlineStr">
        <is>
          <t>Niedersachsen</t>
        </is>
      </c>
      <c r="BG4" s="0"/>
      <c r="BH4" s="0" t="inlineStr">
        <is>
          <t>Göttingen</t>
        </is>
      </c>
      <c r="BI4" s="0"/>
      <c r="BJ4" s="0"/>
      <c r="BK4" s="0" t="s">
        <f>=HYPERLINK("https://www.wer-zu-wem.de/firmenprofilzwischenseite/sun-chemical-29782-6781-457d2e5767.pdf", "https://www.wer-zu-wem.de/firmenprofilzwischenseite/sun-chemical-29782-6781-457d2e5767.pdf")</f>
      </c>
      <c r="BL4" s="0" t="inlineStr">
        <is>
          <t>sun-chemical</t>
        </is>
      </c>
    </row>
    <row collapsed="false" customFormat="false" customHeight="false" hidden="false" ht="12.1" outlineLevel="0" r="5">
      <c r="A5" s="0" t="inlineStr">
        <is>
          <t>Zentrale</t>
        </is>
      </c>
      <c r="B5" s="0" t="s">
        <f>=HYPERLINK("https://www.wer-zu-wem.de/firmenprofilzwischenseite/zuelch-industrial-72463-6781-98e5ef53a4.pdf", "zuelch-industrial")</f>
      </c>
      <c r="C5" s="0" t="inlineStr">
        <is>
          <t>Industrie</t>
        </is>
      </c>
      <c r="D5" s="0" t="inlineStr">
        <is>
          <t>Chemieindustrie</t>
        </is>
      </c>
      <c r="E5" s="0" t="inlineStr">
        <is>
          <t>Farbenhersteller</t>
        </is>
      </c>
      <c r="F5" s="0" t="inlineStr">
        <is>
          <t>Zuelch Industrial Coatings</t>
        </is>
      </c>
      <c r="G5" s="0" t="inlineStr">
        <is>
          <t>Zuelch Industrial Coatings GmbH</t>
        </is>
      </c>
      <c r="H5" s="0"/>
      <c r="I5" s="0" t="inlineStr">
        <is>
          <t>Friedrich-Ebert-Str. 204-206</t>
        </is>
      </c>
      <c r="J5" s="0" t="n">
        <v>37520</v>
      </c>
      <c r="K5" s="0" t="inlineStr">
        <is>
          <t>Osterode am Harz</t>
        </is>
      </c>
      <c r="L5" s="0" t="inlineStr">
        <is>
          <t>05522-9015-0</t>
        </is>
      </c>
      <c r="M5" s="0" t="inlineStr">
        <is>
          <t>05522-9015-55</t>
        </is>
      </c>
      <c r="N5" s="0" t="inlineStr">
        <is>
          <t>Herr</t>
        </is>
      </c>
      <c r="O5" s="0"/>
      <c r="P5" s="0" t="inlineStr">
        <is>
          <t>Hanns-E.</t>
        </is>
      </c>
      <c r="Q5" s="0" t="inlineStr">
        <is>
          <t>Zülch</t>
        </is>
      </c>
      <c r="R5" s="0" t="inlineStr">
        <is>
          <t>Herr</t>
        </is>
      </c>
      <c r="S5" s="0"/>
      <c r="T5" s="0" t="inlineStr">
        <is>
          <t>Carl-Bodo</t>
        </is>
      </c>
      <c r="U5" s="0" t="inlineStr">
        <is>
          <t>Zülch</t>
        </is>
      </c>
      <c r="V5" s="0" t="inlineStr">
        <is>
          <t>Herr</t>
        </is>
      </c>
      <c r="W5" s="0"/>
      <c r="X5" s="0" t="inlineStr">
        <is>
          <t>Sven</t>
        </is>
      </c>
      <c r="Y5" s="0" t="inlineStr">
        <is>
          <t>Schünemann</t>
        </is>
      </c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 t="inlineStr">
        <is>
          <t>service@zuelch.com</t>
        </is>
      </c>
      <c r="AM5" s="0" t="s">
        <f>=HYPERLINK("https://www.zuelch.de/", "https://www.zuelch.de/")</f>
      </c>
      <c r="AN5" s="0"/>
      <c r="AO5" s="0"/>
      <c r="AP5" s="0" t="inlineStr">
        <is>
          <t>Hanns-E. Zülch</t>
        </is>
      </c>
      <c r="AQ5" s="0" t="inlineStr">
        <is>
          <t>Familien</t>
        </is>
      </c>
      <c r="AR5" s="0"/>
      <c r="AS5" s="0" t="n">
        <v>1918</v>
      </c>
      <c r="AT5" s="0"/>
      <c r="AU5" s="0" t="inlineStr">
        <is>
          <t>DE813106968</t>
        </is>
      </c>
      <c r="AV5" s="0"/>
      <c r="AW5" s="0" t="n">
        <v>0</v>
      </c>
      <c r="AX5" s="0" t="inlineStr">
        <is>
          <t>H 10-49</t>
        </is>
      </c>
      <c r="AY5" s="0" t="n">
        <v>34</v>
      </c>
      <c r="AZ5" s="0" t="inlineStr">
        <is>
          <t>Bis 10</t>
        </is>
      </c>
      <c r="BA5" s="0" t="n">
        <v>0</v>
      </c>
      <c r="BB5" s="0"/>
      <c r="BC5" s="0"/>
      <c r="BD5" s="0" t="n">
        <v>72463</v>
      </c>
      <c r="BE5" s="0" t="inlineStr">
        <is>
          <t>DE915</t>
        </is>
      </c>
      <c r="BF5" s="0" t="inlineStr">
        <is>
          <t>Niedersachsen</t>
        </is>
      </c>
      <c r="BG5" s="0"/>
      <c r="BH5" s="0" t="inlineStr">
        <is>
          <t>Göttingen</t>
        </is>
      </c>
      <c r="BI5" s="0"/>
      <c r="BJ5" s="0"/>
      <c r="BK5" s="0" t="s">
        <f>=HYPERLINK("https://www.wer-zu-wem.de/firmenprofilzwischenseite/zuelch-industrial-72463-6781-98e5ef53a4.pdf", "https://www.wer-zu-wem.de/firmenprofilzwischenseite/zuelch-industrial-72463-6781-98e5ef53a4.pdf")</f>
      </c>
      <c r="BL5" s="0" t="inlineStr">
        <is>
          <t>zuelch-industrial</t>
        </is>
      </c>
    </row>
    <row collapsed="false" customFormat="false" customHeight="false" hidden="false" ht="12.1" outlineLevel="0" r="6">
      <c r="A6" s="0" t="inlineStr">
        <is>
          <t>Zentrale</t>
        </is>
      </c>
      <c r="B6" s="0" t="s">
        <f>=HYPERLINK("https://www.wer-zu-wem.de/firmenprofilzwischenseite/sil-lackfabrik-73214-6781-60e2ab979a.pdf", "sil-lackfabrik")</f>
      </c>
      <c r="C6" s="0" t="inlineStr">
        <is>
          <t>Industrie</t>
        </is>
      </c>
      <c r="D6" s="0" t="inlineStr">
        <is>
          <t>Chemieindustrie</t>
        </is>
      </c>
      <c r="E6" s="0" t="inlineStr">
        <is>
          <t>Farbenhersteller</t>
        </is>
      </c>
      <c r="F6" s="0" t="inlineStr">
        <is>
          <t>SIL Lackfabrik</t>
        </is>
      </c>
      <c r="G6" s="0" t="inlineStr">
        <is>
          <t>S I L  Lackfabrik GmbH &amp; Co. KG</t>
        </is>
      </c>
      <c r="H6" s="0" t="inlineStr">
        <is>
          <t>Spezialindustrielacke</t>
        </is>
      </c>
      <c r="I6" s="0" t="inlineStr">
        <is>
          <t>Bertramstr. 5</t>
        </is>
      </c>
      <c r="J6" s="0" t="n">
        <v>31863</v>
      </c>
      <c r="K6" s="0" t="inlineStr">
        <is>
          <t>Coppenbrügge</t>
        </is>
      </c>
      <c r="L6" s="0" t="inlineStr">
        <is>
          <t>05156-78084-0</t>
        </is>
      </c>
      <c r="M6" s="0" t="inlineStr">
        <is>
          <t>05156-78084-10</t>
        </is>
      </c>
      <c r="N6" s="0" t="inlineStr">
        <is>
          <t>Frau</t>
        </is>
      </c>
      <c r="O6" s="0" t="inlineStr">
        <is>
          <t>Dr.</t>
        </is>
      </c>
      <c r="P6" s="0" t="inlineStr">
        <is>
          <t>Christina</t>
        </is>
      </c>
      <c r="Q6" s="0" t="inlineStr">
        <is>
          <t>Körber</t>
        </is>
      </c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 t="inlineStr">
        <is>
          <t>info@sil-lackfabrik.de</t>
        </is>
      </c>
      <c r="AM6" s="0" t="s">
        <f>=HYPERLINK("https://www.sil-lackfabrik.de/", "https://www.sil-lackfabrik.de/")</f>
      </c>
      <c r="AN6" s="0"/>
      <c r="AO6" s="0"/>
      <c r="AP6" s="0" t="inlineStr">
        <is>
          <t>GC Wedemeyer/Werner/Niederprüm</t>
        </is>
      </c>
      <c r="AQ6" s="0" t="inlineStr">
        <is>
          <t>Partner</t>
        </is>
      </c>
      <c r="AR6" s="0" t="inlineStr">
        <is>
          <t>GC Gruppe</t>
        </is>
      </c>
      <c r="AS6" s="0" t="n">
        <v>1950</v>
      </c>
      <c r="AT6" s="0"/>
      <c r="AU6" s="0" t="inlineStr">
        <is>
          <t>DE115451879</t>
        </is>
      </c>
      <c r="AV6" s="0"/>
      <c r="AW6" s="0" t="n">
        <v>0</v>
      </c>
      <c r="AX6" s="0" t="inlineStr">
        <is>
          <t>H 10-49</t>
        </is>
      </c>
      <c r="AY6" s="0" t="n">
        <v>0</v>
      </c>
      <c r="AZ6" s="0" t="inlineStr">
        <is>
          <t>Bis 10</t>
        </is>
      </c>
      <c r="BA6" s="0" t="n">
        <v>0</v>
      </c>
      <c r="BB6" s="0"/>
      <c r="BC6" s="0"/>
      <c r="BD6" s="0" t="n">
        <v>73214</v>
      </c>
      <c r="BE6" s="0" t="inlineStr">
        <is>
          <t>DE923</t>
        </is>
      </c>
      <c r="BF6" s="0" t="inlineStr">
        <is>
          <t>Niedersachsen</t>
        </is>
      </c>
      <c r="BG6" s="0"/>
      <c r="BH6" s="0" t="inlineStr">
        <is>
          <t>Hameln-Pyrmont</t>
        </is>
      </c>
      <c r="BI6" s="0"/>
      <c r="BJ6" s="0"/>
      <c r="BK6" s="0" t="s">
        <f>=HYPERLINK("https://www.wer-zu-wem.de/firmenprofilzwischenseite/sil-lackfabrik-73214-6781-60e2ab979a.pdf", "https://www.wer-zu-wem.de/firmenprofilzwischenseite/sil-lackfabrik-73214-6781-60e2ab979a.pdf")</f>
      </c>
      <c r="BL6" s="0" t="inlineStr">
        <is>
          <t>sil-lackfabrik</t>
        </is>
      </c>
    </row>
    <row collapsed="false" customFormat="false" customHeight="false" hidden="false" ht="12.1" outlineLevel="0" r="7">
      <c r="A7" s="0" t="inlineStr">
        <is>
          <t>Zentrale</t>
        </is>
      </c>
      <c r="B7" s="0" t="s">
        <f>=HYPERLINK("https://www.wer-zu-wem.de/firmenprofilzwischenseite/osnatol-73215-6781-5d4162f6b9.pdf", "osnatol")</f>
      </c>
      <c r="C7" s="0" t="inlineStr">
        <is>
          <t>Industrie</t>
        </is>
      </c>
      <c r="D7" s="0" t="inlineStr">
        <is>
          <t>Chemieindustrie</t>
        </is>
      </c>
      <c r="E7" s="0" t="inlineStr">
        <is>
          <t>Farbenhersteller</t>
        </is>
      </c>
      <c r="F7" s="0" t="inlineStr">
        <is>
          <t>Osnatol-Werk</t>
        </is>
      </c>
      <c r="G7" s="0" t="inlineStr">
        <is>
          <t>Osnatol-Werk GmbH &amp; Co. KG</t>
        </is>
      </c>
      <c r="H7" s="0"/>
      <c r="I7" s="0" t="inlineStr">
        <is>
          <t>Bahnhofstr. 14</t>
        </is>
      </c>
      <c r="J7" s="0" t="n">
        <v>49191</v>
      </c>
      <c r="K7" s="0" t="inlineStr">
        <is>
          <t>Belm</t>
        </is>
      </c>
      <c r="L7" s="0" t="inlineStr">
        <is>
          <t>05406-8300-0</t>
        </is>
      </c>
      <c r="M7" s="0" t="inlineStr">
        <is>
          <t>05406-8300-399</t>
        </is>
      </c>
      <c r="N7" s="0" t="inlineStr">
        <is>
          <t>Herr</t>
        </is>
      </c>
      <c r="O7" s="0"/>
      <c r="P7" s="0" t="inlineStr">
        <is>
          <t>H.-Jürgen</t>
        </is>
      </c>
      <c r="Q7" s="0" t="inlineStr">
        <is>
          <t>Bartels</t>
        </is>
      </c>
      <c r="R7" s="0" t="inlineStr">
        <is>
          <t>Frau</t>
        </is>
      </c>
      <c r="S7" s="0"/>
      <c r="T7" s="0" t="inlineStr">
        <is>
          <t>Mareike</t>
        </is>
      </c>
      <c r="U7" s="0" t="inlineStr">
        <is>
          <t>Bartels</t>
        </is>
      </c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 t="inlineStr">
        <is>
          <t>info@osnatol.de</t>
        </is>
      </c>
      <c r="AM7" s="0" t="s">
        <f>=HYPERLINK("https://www.osnatol.de/", "https://www.osnatol.de/")</f>
      </c>
      <c r="AN7" s="0"/>
      <c r="AO7" s="0"/>
      <c r="AP7" s="0" t="inlineStr">
        <is>
          <t>Bartels Belm Familie</t>
        </is>
      </c>
      <c r="AQ7" s="0" t="inlineStr">
        <is>
          <t>Familien</t>
        </is>
      </c>
      <c r="AR7" s="0"/>
      <c r="AS7" s="0" t="n">
        <v>1936</v>
      </c>
      <c r="AT7" s="0"/>
      <c r="AU7" s="0" t="inlineStr">
        <is>
          <t>DE117584437</t>
        </is>
      </c>
      <c r="AV7" s="0"/>
      <c r="AW7" s="0" t="n">
        <v>0</v>
      </c>
      <c r="AX7" s="0" t="inlineStr">
        <is>
          <t>G 50-99</t>
        </is>
      </c>
      <c r="AY7" s="0" t="n">
        <v>60</v>
      </c>
      <c r="AZ7" s="0" t="inlineStr">
        <is>
          <t>10 - 50</t>
        </is>
      </c>
      <c r="BA7" s="0" t="n">
        <v>0</v>
      </c>
      <c r="BB7" s="0"/>
      <c r="BC7" s="0"/>
      <c r="BD7" s="0" t="n">
        <v>73215</v>
      </c>
      <c r="BE7" s="0" t="inlineStr">
        <is>
          <t>DE94E</t>
        </is>
      </c>
      <c r="BF7" s="0" t="inlineStr">
        <is>
          <t>Niedersachsen</t>
        </is>
      </c>
      <c r="BG7" s="0"/>
      <c r="BH7" s="0" t="inlineStr">
        <is>
          <t>Osnabrück</t>
        </is>
      </c>
      <c r="BI7" s="0"/>
      <c r="BJ7" s="0"/>
      <c r="BK7" s="0" t="s">
        <f>=HYPERLINK("https://www.wer-zu-wem.de/firmenprofilzwischenseite/osnatol-73215-6781-5d4162f6b9.pdf", "https://www.wer-zu-wem.de/firmenprofilzwischenseite/osnatol-73215-6781-5d4162f6b9.pdf")</f>
      </c>
      <c r="BL7" s="0" t="inlineStr">
        <is>
          <t>osnatol</t>
        </is>
      </c>
    </row>
    <row collapsed="false" customFormat="false" customHeight="false" hidden="false" ht="12.1" outlineLevel="0" r="8">
      <c r="A8" s="0" t="inlineStr">
        <is>
          <t>Zentrale</t>
        </is>
      </c>
      <c r="B8" s="0" t="s">
        <f>=HYPERLINK("https://www.wer-zu-wem.de/firmenprofilzwischenseite/leinos-naturfarben-73218-6781-d20ce5e005.pdf", "leinos-naturfarben")</f>
      </c>
      <c r="C8" s="0" t="inlineStr">
        <is>
          <t>Industrie</t>
        </is>
      </c>
      <c r="D8" s="0" t="inlineStr">
        <is>
          <t>Chemieindustrie</t>
        </is>
      </c>
      <c r="E8" s="0" t="inlineStr">
        <is>
          <t>Farbenhersteller</t>
        </is>
      </c>
      <c r="F8" s="0" t="inlineStr">
        <is>
          <t>Leinos Naturfarben</t>
        </is>
      </c>
      <c r="G8" s="0" t="inlineStr">
        <is>
          <t>Reincke Naturfarben GmbH</t>
        </is>
      </c>
      <c r="H8" s="0"/>
      <c r="I8" s="0" t="inlineStr">
        <is>
          <t>Industriestr. 3</t>
        </is>
      </c>
      <c r="J8" s="0" t="n">
        <v>21640</v>
      </c>
      <c r="K8" s="0" t="inlineStr">
        <is>
          <t>Horneburg</t>
        </is>
      </c>
      <c r="L8" s="0" t="inlineStr">
        <is>
          <t>04163-86747-0</t>
        </is>
      </c>
      <c r="M8" s="0" t="inlineStr">
        <is>
          <t>04163-86747-29</t>
        </is>
      </c>
      <c r="N8" s="0" t="inlineStr">
        <is>
          <t>Herr</t>
        </is>
      </c>
      <c r="O8" s="0"/>
      <c r="P8" s="0" t="inlineStr">
        <is>
          <t>Ingo</t>
        </is>
      </c>
      <c r="Q8" s="0" t="inlineStr">
        <is>
          <t>Reincke</t>
        </is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 t="inlineStr">
        <is>
          <t>info@leinos.de</t>
        </is>
      </c>
      <c r="AM8" s="0" t="s">
        <f>=HYPERLINK("https://leinos.de/", "https://leinos.de/")</f>
      </c>
      <c r="AN8" s="0"/>
      <c r="AO8" s="0"/>
      <c r="AP8" s="0" t="inlineStr">
        <is>
          <t>Reincke Buxtehude Familie</t>
        </is>
      </c>
      <c r="AQ8" s="0" t="inlineStr">
        <is>
          <t>Familien</t>
        </is>
      </c>
      <c r="AR8" s="0"/>
      <c r="AS8" s="0" t="n">
        <v>1986</v>
      </c>
      <c r="AT8" s="0"/>
      <c r="AU8" s="0" t="inlineStr">
        <is>
          <t>DE227162439</t>
        </is>
      </c>
      <c r="AV8" s="0"/>
      <c r="AW8" s="0" t="n">
        <v>0</v>
      </c>
      <c r="AX8" s="0" t="inlineStr">
        <is>
          <t>H 10-49</t>
        </is>
      </c>
      <c r="AY8" s="0" t="n">
        <v>0</v>
      </c>
      <c r="AZ8" s="0" t="inlineStr">
        <is>
          <t>Bis 10</t>
        </is>
      </c>
      <c r="BA8" s="0" t="n">
        <v>0</v>
      </c>
      <c r="BB8" s="0"/>
      <c r="BC8" s="0"/>
      <c r="BD8" s="0" t="n">
        <v>73218</v>
      </c>
      <c r="BE8" s="0" t="inlineStr">
        <is>
          <t>DE939</t>
        </is>
      </c>
      <c r="BF8" s="0" t="inlineStr">
        <is>
          <t>Niedersachsen</t>
        </is>
      </c>
      <c r="BG8" s="0"/>
      <c r="BH8" s="0" t="inlineStr">
        <is>
          <t>Stade</t>
        </is>
      </c>
      <c r="BI8" s="0"/>
      <c r="BJ8" s="0"/>
      <c r="BK8" s="0" t="s">
        <f>=HYPERLINK("https://www.wer-zu-wem.de/firmenprofilzwischenseite/leinos-naturfarben-73218-6781-d20ce5e005.pdf", "https://www.wer-zu-wem.de/firmenprofilzwischenseite/leinos-naturfarben-73218-6781-d20ce5e005.pdf")</f>
      </c>
      <c r="BL8" s="0" t="inlineStr">
        <is>
          <t>leinos-naturfarben</t>
        </is>
      </c>
    </row>
    <row collapsed="false" customFormat="false" customHeight="false" hidden="false" ht="12.1" outlineLevel="0" r="9">
      <c r="A9" s="0" t="inlineStr">
        <is>
          <t>Zentrale</t>
        </is>
      </c>
      <c r="B9" s="0" t="s">
        <f>=HYPERLINK("https://www.wer-zu-wem.de/firmenprofilzwischenseite/livos-73225-6781-2cec209855.pdf", "livos")</f>
      </c>
      <c r="C9" s="0" t="inlineStr">
        <is>
          <t>Industrie</t>
        </is>
      </c>
      <c r="D9" s="0" t="inlineStr">
        <is>
          <t>Chemieindustrie</t>
        </is>
      </c>
      <c r="E9" s="0" t="inlineStr">
        <is>
          <t>Farbenhersteller</t>
        </is>
      </c>
      <c r="F9" s="0" t="inlineStr">
        <is>
          <t>Livos</t>
        </is>
      </c>
      <c r="G9" s="0" t="inlineStr">
        <is>
          <t>Livos Forschungs- und</t>
        </is>
      </c>
      <c r="H9" s="0" t="inlineStr">
        <is>
          <t>Entwicklungsgesellschaft mbH &amp; Co. KG</t>
        </is>
      </c>
      <c r="I9" s="0" t="inlineStr">
        <is>
          <t>Auengrund 10</t>
        </is>
      </c>
      <c r="J9" s="0" t="n">
        <v>29559</v>
      </c>
      <c r="K9" s="0" t="inlineStr">
        <is>
          <t>Wrestedt</t>
        </is>
      </c>
      <c r="L9" s="0" t="inlineStr">
        <is>
          <t>05825-88-0</t>
        </is>
      </c>
      <c r="M9" s="0" t="inlineStr">
        <is>
          <t>05825-88-64</t>
        </is>
      </c>
      <c r="N9" s="0" t="inlineStr">
        <is>
          <t>Frau</t>
        </is>
      </c>
      <c r="O9" s="0"/>
      <c r="P9" s="0" t="inlineStr">
        <is>
          <t>Rosemarie</t>
        </is>
      </c>
      <c r="Q9" s="0" t="inlineStr">
        <is>
          <t>Bothe</t>
        </is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 t="inlineStr">
        <is>
          <t>info@livos.de</t>
        </is>
      </c>
      <c r="AM9" s="0" t="s">
        <f>=HYPERLINK("https://www.livos.de/", "https://www.livos.de/")</f>
      </c>
      <c r="AN9" s="0"/>
      <c r="AO9" s="0"/>
      <c r="AP9" s="0" t="inlineStr">
        <is>
          <t>Rosemarie Bothe</t>
        </is>
      </c>
      <c r="AQ9" s="0" t="inlineStr">
        <is>
          <t>Familien</t>
        </is>
      </c>
      <c r="AR9" s="0"/>
      <c r="AS9" s="0" t="n">
        <v>1974</v>
      </c>
      <c r="AT9" s="0"/>
      <c r="AU9" s="0" t="inlineStr">
        <is>
          <t>DE116679032</t>
        </is>
      </c>
      <c r="AV9" s="0"/>
      <c r="AW9" s="0" t="n">
        <v>0</v>
      </c>
      <c r="AX9" s="0" t="inlineStr">
        <is>
          <t>G 50-99</t>
        </is>
      </c>
      <c r="AY9" s="0" t="n">
        <v>55</v>
      </c>
      <c r="AZ9" s="0" t="inlineStr">
        <is>
          <t>10 - 50</t>
        </is>
      </c>
      <c r="BA9" s="0" t="n">
        <v>0</v>
      </c>
      <c r="BB9" s="0"/>
      <c r="BC9" s="0"/>
      <c r="BD9" s="0" t="n">
        <v>73225</v>
      </c>
      <c r="BE9" s="0" t="inlineStr">
        <is>
          <t>DE93A</t>
        </is>
      </c>
      <c r="BF9" s="0" t="inlineStr">
        <is>
          <t>Niedersachsen</t>
        </is>
      </c>
      <c r="BG9" s="0"/>
      <c r="BH9" s="0" t="inlineStr">
        <is>
          <t>Uelzen</t>
        </is>
      </c>
      <c r="BI9" s="0"/>
      <c r="BJ9" s="0"/>
      <c r="BK9" s="0" t="s">
        <f>=HYPERLINK("https://www.wer-zu-wem.de/firmenprofilzwischenseite/livos-73225-6781-2cec209855.pdf", "https://www.wer-zu-wem.de/firmenprofilzwischenseite/livos-73225-6781-2cec209855.pdf")</f>
      </c>
      <c r="BL9" s="0" t="inlineStr">
        <is>
          <t>livos</t>
        </is>
      </c>
    </row>
    <row collapsed="false" customFormat="false" customHeight="false" hidden="false" ht="12.1" outlineLevel="0" r="10">
      <c r="A10" s="0" t="inlineStr">
        <is>
          <t>Zentrale</t>
        </is>
      </c>
      <c r="B10" s="0" t="s">
        <f>=HYPERLINK("https://www.wer-zu-wem.de/firmenprofilzwischenseite/alteco-line-83577-6781-1591d18bf0.pdf", "alteco-line")</f>
      </c>
      <c r="C10" s="0" t="inlineStr">
        <is>
          <t>Industrie</t>
        </is>
      </c>
      <c r="D10" s="0" t="inlineStr">
        <is>
          <t>Chemieindustrie</t>
        </is>
      </c>
      <c r="E10" s="0" t="inlineStr">
        <is>
          <t>Farbenhersteller</t>
        </is>
      </c>
      <c r="F10" s="0" t="inlineStr">
        <is>
          <t>Alteco Line</t>
        </is>
      </c>
      <c r="G10" s="0" t="inlineStr">
        <is>
          <t>ALTECO Technik GmbH</t>
        </is>
      </c>
      <c r="H10" s="0"/>
      <c r="I10" s="0" t="inlineStr">
        <is>
          <t>Raiffeisenstr. 16</t>
        </is>
      </c>
      <c r="J10" s="0" t="n">
        <v>27239</v>
      </c>
      <c r="K10" s="0" t="inlineStr">
        <is>
          <t>Twistringen</t>
        </is>
      </c>
      <c r="L10" s="0" t="inlineStr">
        <is>
          <t>04243-9295-0</t>
        </is>
      </c>
      <c r="M10" s="0" t="inlineStr">
        <is>
          <t>04243-9295-89</t>
        </is>
      </c>
      <c r="N10" s="0" t="inlineStr">
        <is>
          <t>Herr</t>
        </is>
      </c>
      <c r="O10" s="0"/>
      <c r="P10" s="0" t="inlineStr">
        <is>
          <t>Daniel Matthew</t>
        </is>
      </c>
      <c r="Q10" s="0" t="inlineStr">
        <is>
          <t>Johnson</t>
        </is>
      </c>
      <c r="R10" s="0" t="inlineStr">
        <is>
          <t>Herr</t>
        </is>
      </c>
      <c r="S10" s="0"/>
      <c r="T10" s="0" t="inlineStr">
        <is>
          <t>Walter</t>
        </is>
      </c>
      <c r="U10" s="0" t="inlineStr">
        <is>
          <t>Geyer</t>
        </is>
      </c>
      <c r="V10" s="0" t="inlineStr">
        <is>
          <t>Herr</t>
        </is>
      </c>
      <c r="W10" s="0"/>
      <c r="X10" s="0" t="inlineStr">
        <is>
          <t>Jonathan</t>
        </is>
      </c>
      <c r="Y10" s="0" t="inlineStr">
        <is>
          <t>Hartmann</t>
        </is>
      </c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 t="inlineStr">
        <is>
          <t>info@alteco-technik.de</t>
        </is>
      </c>
      <c r="AM10" s="0" t="s">
        <f>=HYPERLINK("https://www.alteco-technik.de/", "https://www.alteco-technik.de/")</f>
      </c>
      <c r="AN10" s="0"/>
      <c r="AO10" s="0"/>
      <c r="AP10" s="0" t="inlineStr">
        <is>
          <t>RPM Inc. (USA)</t>
        </is>
      </c>
      <c r="AQ10" s="0" t="inlineStr">
        <is>
          <t>Konzern</t>
        </is>
      </c>
      <c r="AR10" s="0"/>
      <c r="AS10" s="0" t="n">
        <v>1998</v>
      </c>
      <c r="AT10" s="0" t="n">
        <v>863462</v>
      </c>
      <c r="AU10" s="0" t="inlineStr">
        <is>
          <t>DE812442980</t>
        </is>
      </c>
      <c r="AV10" s="0"/>
      <c r="AW10" s="0" t="n">
        <v>0</v>
      </c>
      <c r="AX10" s="0" t="inlineStr">
        <is>
          <t>H 10-49</t>
        </is>
      </c>
      <c r="AY10" s="0" t="n">
        <v>36</v>
      </c>
      <c r="AZ10" s="0" t="inlineStr">
        <is>
          <t>Bis 10</t>
        </is>
      </c>
      <c r="BA10" s="0" t="n">
        <v>0</v>
      </c>
      <c r="BB10" s="0"/>
      <c r="BC10" s="0"/>
      <c r="BD10" s="0" t="n">
        <v>83577</v>
      </c>
      <c r="BE10" s="0" t="inlineStr">
        <is>
          <t>DE922</t>
        </is>
      </c>
      <c r="BF10" s="0" t="inlineStr">
        <is>
          <t>Niedersachsen</t>
        </is>
      </c>
      <c r="BG10" s="0"/>
      <c r="BH10" s="0" t="inlineStr">
        <is>
          <t>Diepholz</t>
        </is>
      </c>
      <c r="BI10" s="0"/>
      <c r="BJ10" s="0"/>
      <c r="BK10" s="0" t="s">
        <f>=HYPERLINK("https://www.wer-zu-wem.de/firmenprofilzwischenseite/alteco-line-83577-6781-1591d18bf0.pdf", "https://www.wer-zu-wem.de/firmenprofilzwischenseite/alteco-line-83577-6781-1591d18bf0.pdf")</f>
      </c>
      <c r="BL10" s="0" t="inlineStr">
        <is>
          <t>alteco-line</t>
        </is>
      </c>
    </row>
    <row collapsed="false" customFormat="false" customHeight="false" hidden="false" ht="12.1" outlineLevel="0" r="11">
      <c r="A11" s="0" t="inlineStr">
        <is>
          <t>Zentrale</t>
        </is>
      </c>
      <c r="B11" s="0" t="s">
        <f>=HYPERLINK("https://www.wer-zu-wem.de/firmenprofilzwischenseite/nordwest-chemie-132976-6781-797c3237ef.pdf", "nordwest-chemie")</f>
      </c>
      <c r="C11" s="0" t="inlineStr">
        <is>
          <t>Industrie</t>
        </is>
      </c>
      <c r="D11" s="0" t="inlineStr">
        <is>
          <t>Chemieindustrie</t>
        </is>
      </c>
      <c r="E11" s="0" t="inlineStr">
        <is>
          <t>Farbenhersteller</t>
        </is>
      </c>
      <c r="F11" s="0" t="inlineStr">
        <is>
          <t>Nordwest Chemie</t>
        </is>
      </c>
      <c r="G11" s="0" t="inlineStr">
        <is>
          <t>NORDWEST-CHEMIE GmbH</t>
        </is>
      </c>
      <c r="H11" s="0"/>
      <c r="I11" s="0" t="inlineStr">
        <is>
          <t>Dornierstr. 9</t>
        </is>
      </c>
      <c r="J11" s="0" t="n">
        <v>30179</v>
      </c>
      <c r="K11" s="0" t="inlineStr">
        <is>
          <t>Hannover</t>
        </is>
      </c>
      <c r="L11" s="0" t="inlineStr">
        <is>
          <t>0511-96356-0</t>
        </is>
      </c>
      <c r="M11" s="0" t="inlineStr">
        <is>
          <t>0511-96356-40</t>
        </is>
      </c>
      <c r="N11" s="0" t="inlineStr">
        <is>
          <t>Herr</t>
        </is>
      </c>
      <c r="O11" s="0"/>
      <c r="P11" s="0" t="inlineStr">
        <is>
          <t>Jörg</t>
        </is>
      </c>
      <c r="Q11" s="0" t="inlineStr">
        <is>
          <t>Iwanetzki</t>
        </is>
      </c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 t="inlineStr">
        <is>
          <t>info@nordwest-chemie.de</t>
        </is>
      </c>
      <c r="AM11" s="0" t="s">
        <f>=HYPERLINK("https://www.nordwest-chemie.com/", "https://www.nordwest-chemie.com/")</f>
      </c>
      <c r="AN11" s="0"/>
      <c r="AO11" s="0"/>
      <c r="AP11" s="0" t="inlineStr">
        <is>
          <t>Jörg Iwanetzki</t>
        </is>
      </c>
      <c r="AQ11" s="0" t="inlineStr">
        <is>
          <t>Familien</t>
        </is>
      </c>
      <c r="AR11" s="0"/>
      <c r="AS11" s="0" t="n">
        <v>1953</v>
      </c>
      <c r="AT11" s="0"/>
      <c r="AU11" s="0" t="inlineStr">
        <is>
          <t>DE115645918</t>
        </is>
      </c>
      <c r="AV11" s="0"/>
      <c r="AW11" s="0" t="n">
        <v>0</v>
      </c>
      <c r="AX11" s="0" t="inlineStr">
        <is>
          <t>H 10-49</t>
        </is>
      </c>
      <c r="AY11" s="0" t="n">
        <v>45</v>
      </c>
      <c r="AZ11" s="0" t="inlineStr">
        <is>
          <t>Bis 10</t>
        </is>
      </c>
      <c r="BA11" s="0" t="n">
        <v>0</v>
      </c>
      <c r="BB11" s="0"/>
      <c r="BC11" s="0"/>
      <c r="BD11" s="0" t="n">
        <v>132976</v>
      </c>
      <c r="BE11" s="0" t="inlineStr">
        <is>
          <t>DE929</t>
        </is>
      </c>
      <c r="BF11" s="0" t="inlineStr">
        <is>
          <t>Niedersachsen</t>
        </is>
      </c>
      <c r="BG11" s="0"/>
      <c r="BH11" s="0" t="inlineStr">
        <is>
          <t>Hannover</t>
        </is>
      </c>
      <c r="BI11" s="0"/>
      <c r="BJ11" s="0"/>
      <c r="BK11" s="0" t="s">
        <f>=HYPERLINK("https://www.wer-zu-wem.de/firmenprofilzwischenseite/nordwest-chemie-132976-6781-797c3237ef.pdf", "https://www.wer-zu-wem.de/firmenprofilzwischenseite/nordwest-chemie-132976-6781-797c3237ef.pdf")</f>
      </c>
      <c r="BL11" s="0" t="inlineStr">
        <is>
          <t>nordwest-chemie</t>
        </is>
      </c>
    </row>
    <row collapsed="false" customFormat="false" customHeight="false" hidden="false" ht="12.1" outlineLevel="0" r="12">
      <c r="A12" s="0" t="inlineStr">
        <is>
          <t>Zentrale</t>
        </is>
      </c>
      <c r="B12" s="0" t="s">
        <f>=HYPERLINK("https://www.wer-zu-wem.de/firmenprofilzwischenseite/kreidezeit-133014-6781-f37abaf9c7.pdf", "kreidezeit")</f>
      </c>
      <c r="C12" s="0" t="inlineStr">
        <is>
          <t>Industrie</t>
        </is>
      </c>
      <c r="D12" s="0" t="inlineStr">
        <is>
          <t>Chemieindustrie</t>
        </is>
      </c>
      <c r="E12" s="0" t="inlineStr">
        <is>
          <t>Farbenhersteller</t>
        </is>
      </c>
      <c r="F12" s="0" t="inlineStr">
        <is>
          <t>Kreidezeit Naturfarben</t>
        </is>
      </c>
      <c r="G12" s="0" t="inlineStr">
        <is>
          <t>Kreidezeit Naturfarben GmbH</t>
        </is>
      </c>
      <c r="H12" s="0"/>
      <c r="I12" s="0" t="inlineStr">
        <is>
          <t>Kassemühle 3</t>
        </is>
      </c>
      <c r="J12" s="0" t="n">
        <v>31195</v>
      </c>
      <c r="K12" s="0" t="inlineStr">
        <is>
          <t>Lamspringe</t>
        </is>
      </c>
      <c r="L12" s="0" t="inlineStr">
        <is>
          <t>05060-6080650</t>
        </is>
      </c>
      <c r="M12" s="0" t="inlineStr">
        <is>
          <t>05060-6080680</t>
        </is>
      </c>
      <c r="N12" s="0" t="inlineStr">
        <is>
          <t>Frau</t>
        </is>
      </c>
      <c r="O12" s="0"/>
      <c r="P12" s="0" t="inlineStr">
        <is>
          <t>Jule</t>
        </is>
      </c>
      <c r="Q12" s="0" t="inlineStr">
        <is>
          <t>Ziesemann</t>
        </is>
      </c>
      <c r="R12" s="0" t="inlineStr">
        <is>
          <t>Frau</t>
        </is>
      </c>
      <c r="S12" s="0"/>
      <c r="T12" s="0" t="inlineStr">
        <is>
          <t>Lea</t>
        </is>
      </c>
      <c r="U12" s="0" t="inlineStr">
        <is>
          <t>Hangkofer</t>
        </is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 t="inlineStr">
        <is>
          <t>info@kreidezeit.de</t>
        </is>
      </c>
      <c r="AM12" s="0" t="s">
        <f>=HYPERLINK("https://www.kreidezeit.de/", "https://www.kreidezeit.de/")</f>
      </c>
      <c r="AN12" s="0"/>
      <c r="AO12" s="0"/>
      <c r="AP12" s="0" t="inlineStr">
        <is>
          <t>Gerd Ziesemann</t>
        </is>
      </c>
      <c r="AQ12" s="0" t="inlineStr">
        <is>
          <t>Familien</t>
        </is>
      </c>
      <c r="AR12" s="0"/>
      <c r="AS12" s="0" t="n">
        <v>1987</v>
      </c>
      <c r="AT12" s="0"/>
      <c r="AU12" s="0" t="inlineStr">
        <is>
          <t>DE164989314</t>
        </is>
      </c>
      <c r="AV12" s="0"/>
      <c r="AW12" s="0" t="n">
        <v>0</v>
      </c>
      <c r="AX12" s="0" t="inlineStr">
        <is>
          <t>H 10-49</t>
        </is>
      </c>
      <c r="AY12" s="0" t="n">
        <v>30</v>
      </c>
      <c r="AZ12" s="0" t="inlineStr">
        <is>
          <t>Bis 10</t>
        </is>
      </c>
      <c r="BA12" s="0" t="n">
        <v>0</v>
      </c>
      <c r="BB12" s="0"/>
      <c r="BC12" s="0"/>
      <c r="BD12" s="0" t="n">
        <v>133014</v>
      </c>
      <c r="BE12" s="0" t="inlineStr">
        <is>
          <t>DE925</t>
        </is>
      </c>
      <c r="BF12" s="0" t="inlineStr">
        <is>
          <t>Niedersachsen</t>
        </is>
      </c>
      <c r="BG12" s="0"/>
      <c r="BH12" s="0" t="inlineStr">
        <is>
          <t>Hildesheim</t>
        </is>
      </c>
      <c r="BI12" s="0"/>
      <c r="BJ12" s="0"/>
      <c r="BK12" s="0" t="s">
        <f>=HYPERLINK("https://www.wer-zu-wem.de/firmenprofilzwischenseite/kreidezeit-133014-6781-f37abaf9c7.pdf", "https://www.wer-zu-wem.de/firmenprofilzwischenseite/kreidezeit-133014-6781-f37abaf9c7.pdf")</f>
      </c>
      <c r="BL12" s="0" t="inlineStr">
        <is>
          <t>kreidezeit</t>
        </is>
      </c>
    </row>
    <row collapsed="false" customFormat="false" customHeight="false" hidden="false" ht="12.1" outlineLevel="0" r="13">
      <c r="A13" s="0" t="inlineStr">
        <is>
          <t>Zentrale</t>
        </is>
      </c>
      <c r="B13" s="0" t="s">
        <f>=HYPERLINK("https://www.wer-zu-wem.de/firmenprofilzwischenseite/grothe-rohstoffe-133026-6781-a2a8e9ede5.pdf", "grothe-rohstoffe")</f>
      </c>
      <c r="C13" s="0" t="inlineStr">
        <is>
          <t>Industrie</t>
        </is>
      </c>
      <c r="D13" s="0" t="inlineStr">
        <is>
          <t>Chemieindustrie</t>
        </is>
      </c>
      <c r="E13" s="0" t="inlineStr">
        <is>
          <t>Farbenhersteller</t>
        </is>
      </c>
      <c r="F13" s="0" t="inlineStr">
        <is>
          <t>Grothe Rohstoffe</t>
        </is>
      </c>
      <c r="G13" s="0" t="inlineStr">
        <is>
          <t>Grothe Rohstoffe GmbH &amp; Co. KG</t>
        </is>
      </c>
      <c r="H13" s="0"/>
      <c r="I13" s="0" t="inlineStr">
        <is>
          <t>Kreuzbreite 16</t>
        </is>
      </c>
      <c r="J13" s="0" t="n">
        <v>31675</v>
      </c>
      <c r="K13" s="0" t="inlineStr">
        <is>
          <t>Bückeburg</t>
        </is>
      </c>
      <c r="L13" s="0" t="inlineStr">
        <is>
          <t>05722-9513-0</t>
        </is>
      </c>
      <c r="M13" s="0" t="inlineStr">
        <is>
          <t>05722-9513-60</t>
        </is>
      </c>
      <c r="N13" s="0" t="inlineStr">
        <is>
          <t>Herr</t>
        </is>
      </c>
      <c r="O13" s="0"/>
      <c r="P13" s="0" t="inlineStr">
        <is>
          <t>Uwe</t>
        </is>
      </c>
      <c r="Q13" s="0" t="inlineStr">
        <is>
          <t>Grothe</t>
        </is>
      </c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 t="inlineStr">
        <is>
          <t>info@grothe.net</t>
        </is>
      </c>
      <c r="AM13" s="0" t="s">
        <f>=HYPERLINK("https://www.grothe.net/", "https://www.grothe.net/")</f>
      </c>
      <c r="AN13" s="0"/>
      <c r="AO13" s="0"/>
      <c r="AP13" s="0" t="inlineStr">
        <is>
          <t>Familie Grothe</t>
        </is>
      </c>
      <c r="AQ13" s="0" t="inlineStr">
        <is>
          <t>Familien</t>
        </is>
      </c>
      <c r="AR13" s="0"/>
      <c r="AS13" s="0" t="n">
        <v>1946</v>
      </c>
      <c r="AT13" s="0"/>
      <c r="AU13" s="0" t="inlineStr">
        <is>
          <t>DE813077351</t>
        </is>
      </c>
      <c r="AV13" s="0"/>
      <c r="AW13" s="0" t="n">
        <v>0</v>
      </c>
      <c r="AX13" s="0" t="inlineStr">
        <is>
          <t>H 10-49</t>
        </is>
      </c>
      <c r="AY13" s="0" t="n">
        <v>36</v>
      </c>
      <c r="AZ13" s="0" t="inlineStr">
        <is>
          <t>Bis 10</t>
        </is>
      </c>
      <c r="BA13" s="0" t="n">
        <v>0</v>
      </c>
      <c r="BB13" s="0"/>
      <c r="BC13" s="0"/>
      <c r="BD13" s="0" t="n">
        <v>133026</v>
      </c>
      <c r="BE13" s="0" t="inlineStr">
        <is>
          <t>DE928</t>
        </is>
      </c>
      <c r="BF13" s="0" t="inlineStr">
        <is>
          <t>Niedersachsen</t>
        </is>
      </c>
      <c r="BG13" s="0"/>
      <c r="BH13" s="0" t="inlineStr">
        <is>
          <t>Schaumburg</t>
        </is>
      </c>
      <c r="BI13" s="0"/>
      <c r="BJ13" s="0"/>
      <c r="BK13" s="0" t="s">
        <f>=HYPERLINK("https://www.wer-zu-wem.de/firmenprofilzwischenseite/grothe-rohstoffe-133026-6781-a2a8e9ede5.pdf", "https://www.wer-zu-wem.de/firmenprofilzwischenseite/grothe-rohstoffe-133026-6781-a2a8e9ede5.pdf")</f>
      </c>
      <c r="BL13" s="0" t="inlineStr">
        <is>
          <t>grothe-rohstoffe</t>
        </is>
      </c>
    </row>
    <row collapsed="false" customFormat="false" customHeight="false" hidden="false" ht="12.1" outlineLevel="0" r="14">
      <c r="A14" s="0" t="inlineStr">
        <is>
          <t>Zentrale</t>
        </is>
      </c>
      <c r="B14" s="0" t="s">
        <f>=HYPERLINK("https://www.wer-zu-wem.de/firmenprofilzwischenseite/teleplast-133202-6781-2c9228dbe6.pdf", "teleplast")</f>
      </c>
      <c r="C14" s="0" t="inlineStr">
        <is>
          <t>Industrie</t>
        </is>
      </c>
      <c r="D14" s="0" t="inlineStr">
        <is>
          <t>Chemieindustrie</t>
        </is>
      </c>
      <c r="E14" s="0" t="inlineStr">
        <is>
          <t>Farbenhersteller</t>
        </is>
      </c>
      <c r="F14" s="0" t="inlineStr">
        <is>
          <t>Teleplast</t>
        </is>
      </c>
      <c r="G14" s="0" t="inlineStr">
        <is>
          <t>TELEPLAST GmbH &amp; Co. KG.</t>
        </is>
      </c>
      <c r="H14" s="0"/>
      <c r="I14" s="0" t="inlineStr">
        <is>
          <t>Petzvalstr. 37</t>
        </is>
      </c>
      <c r="J14" s="0" t="n">
        <v>38104</v>
      </c>
      <c r="K14" s="0" t="inlineStr">
        <is>
          <t>Braunschweig</t>
        </is>
      </c>
      <c r="L14" s="0" t="inlineStr">
        <is>
          <t>0531-23728-0</t>
        </is>
      </c>
      <c r="M14" s="0" t="inlineStr">
        <is>
          <t>0531-23728-12</t>
        </is>
      </c>
      <c r="N14" s="0" t="inlineStr">
        <is>
          <t>Herr</t>
        </is>
      </c>
      <c r="O14" s="0"/>
      <c r="P14" s="0" t="inlineStr">
        <is>
          <t>Jörg</t>
        </is>
      </c>
      <c r="Q14" s="0" t="inlineStr">
        <is>
          <t>Brüche</t>
        </is>
      </c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 t="inlineStr">
        <is>
          <t>info@teleplast.de</t>
        </is>
      </c>
      <c r="AM14" s="0" t="s">
        <f>=HYPERLINK("http://www.teleplast.de", "http://www.teleplast.de")</f>
      </c>
      <c r="AN14" s="0"/>
      <c r="AO14" s="0"/>
      <c r="AP14" s="0" t="inlineStr">
        <is>
          <t>Familie Brüche</t>
        </is>
      </c>
      <c r="AQ14" s="0" t="inlineStr">
        <is>
          <t>Familien</t>
        </is>
      </c>
      <c r="AR14" s="0"/>
      <c r="AS14" s="0" t="n">
        <v>1969</v>
      </c>
      <c r="AT14" s="0"/>
      <c r="AU14" s="0" t="inlineStr">
        <is>
          <t>DE116887628</t>
        </is>
      </c>
      <c r="AV14" s="0"/>
      <c r="AW14" s="0" t="n">
        <v>0</v>
      </c>
      <c r="AX14" s="0" t="inlineStr">
        <is>
          <t>H 10-49</t>
        </is>
      </c>
      <c r="AY14" s="0" t="n">
        <v>21</v>
      </c>
      <c r="AZ14" s="0" t="inlineStr">
        <is>
          <t>Bis 10</t>
        </is>
      </c>
      <c r="BA14" s="0" t="n">
        <v>0</v>
      </c>
      <c r="BB14" s="0"/>
      <c r="BC14" s="0"/>
      <c r="BD14" s="0" t="n">
        <v>133202</v>
      </c>
      <c r="BE14" s="0" t="inlineStr">
        <is>
          <t>DE911</t>
        </is>
      </c>
      <c r="BF14" s="0" t="inlineStr">
        <is>
          <t>Niedersachsen</t>
        </is>
      </c>
      <c r="BG14" s="0"/>
      <c r="BH14" s="0" t="inlineStr">
        <is>
          <t>Braunschweig</t>
        </is>
      </c>
      <c r="BI14" s="0"/>
      <c r="BJ14" s="0"/>
      <c r="BK14" s="0" t="s">
        <f>=HYPERLINK("https://www.wer-zu-wem.de/firmenprofilzwischenseite/teleplast-133202-6781-2c9228dbe6.pdf", "https://www.wer-zu-wem.de/firmenprofilzwischenseite/teleplast-133202-6781-2c9228dbe6.pdf")</f>
      </c>
      <c r="BL14" s="0" t="inlineStr">
        <is>
          <t>teleplast</t>
        </is>
      </c>
    </row>
    <row collapsed="false" customFormat="false" customHeight="false" hidden="false" ht="12.1" outlineLevel="0" r="15">
      <c r="A15" s="0" t="inlineStr">
        <is>
          <t>Zentrale</t>
        </is>
      </c>
      <c r="B15" s="0" t="s">
        <f>=HYPERLINK("https://www.wer-zu-wem.de/firmenprofilzwischenseite/troy-chemie-163294-6781-d580e46e8d.pdf", "troy-chemie")</f>
      </c>
      <c r="C15" s="0" t="inlineStr">
        <is>
          <t>Industrie</t>
        </is>
      </c>
      <c r="D15" s="0" t="inlineStr">
        <is>
          <t>Chemieindustrie</t>
        </is>
      </c>
      <c r="E15" s="0" t="inlineStr">
        <is>
          <t>Farbenhersteller</t>
        </is>
      </c>
      <c r="F15" s="0" t="inlineStr">
        <is>
          <t>Troy Chemie</t>
        </is>
      </c>
      <c r="G15" s="0" t="inlineStr">
        <is>
          <t>TROY Chemie GmbH</t>
        </is>
      </c>
      <c r="H15" s="0"/>
      <c r="I15" s="0" t="inlineStr">
        <is>
          <t>Freundallee 9a</t>
        </is>
      </c>
      <c r="J15" s="0" t="n">
        <v>30173</v>
      </c>
      <c r="K15" s="0" t="inlineStr">
        <is>
          <t>Hannover</t>
        </is>
      </c>
      <c r="L15" s="0" t="inlineStr">
        <is>
          <t>0511-8998830</t>
        </is>
      </c>
      <c r="M15" s="0"/>
      <c r="N15" s="0" t="inlineStr">
        <is>
          <t>Herr</t>
        </is>
      </c>
      <c r="O15" s="0"/>
      <c r="P15" s="0" t="inlineStr">
        <is>
          <t>Ulf</t>
        </is>
      </c>
      <c r="Q15" s="0" t="inlineStr">
        <is>
          <t>Becker</t>
        </is>
      </c>
      <c r="R15" s="0" t="inlineStr">
        <is>
          <t>Herr</t>
        </is>
      </c>
      <c r="S15" s="0"/>
      <c r="T15" s="0" t="inlineStr">
        <is>
          <t>Christopher Emery</t>
        </is>
      </c>
      <c r="U15" s="0" t="inlineStr">
        <is>
          <t>Smith</t>
        </is>
      </c>
      <c r="V15" s="0" t="inlineStr">
        <is>
          <t>Herr</t>
        </is>
      </c>
      <c r="W15" s="0"/>
      <c r="X15" s="0" t="inlineStr">
        <is>
          <t>Thomas Russell</t>
        </is>
      </c>
      <c r="Y15" s="0" t="inlineStr">
        <is>
          <t>Wisner</t>
        </is>
      </c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 t="inlineStr">
        <is>
          <t>info.dachs@troycorp.com</t>
        </is>
      </c>
      <c r="AM15" s="0" t="s">
        <f>=HYPERLINK("https://www.troycorp.com/", "https://www.troycorp.com/")</f>
      </c>
      <c r="AN15" s="0"/>
      <c r="AO15" s="0"/>
      <c r="AP15" s="0" t="inlineStr">
        <is>
          <t>Troy Chemical Company (Niederlande)</t>
        </is>
      </c>
      <c r="AQ15" s="0" t="inlineStr">
        <is>
          <t>Sonstige</t>
        </is>
      </c>
      <c r="AR15" s="0"/>
      <c r="AS15" s="0"/>
      <c r="AT15" s="0"/>
      <c r="AU15" s="0" t="inlineStr">
        <is>
          <t>DE120147155</t>
        </is>
      </c>
      <c r="AV15" s="0"/>
      <c r="AW15" s="0" t="n">
        <v>0</v>
      </c>
      <c r="AX15" s="0" t="inlineStr">
        <is>
          <t>G 50-99</t>
        </is>
      </c>
      <c r="AY15" s="0" t="n">
        <v>50</v>
      </c>
      <c r="AZ15" s="0" t="inlineStr">
        <is>
          <t>10 - 50</t>
        </is>
      </c>
      <c r="BA15" s="0" t="n">
        <v>0</v>
      </c>
      <c r="BB15" s="0"/>
      <c r="BC15" s="0"/>
      <c r="BD15" s="0" t="n">
        <v>163294</v>
      </c>
      <c r="BE15" s="0" t="inlineStr">
        <is>
          <t>DE929</t>
        </is>
      </c>
      <c r="BF15" s="0" t="inlineStr">
        <is>
          <t>Niedersachsen</t>
        </is>
      </c>
      <c r="BG15" s="0"/>
      <c r="BH15" s="0" t="inlineStr">
        <is>
          <t>Hannover</t>
        </is>
      </c>
      <c r="BI15" s="0"/>
      <c r="BJ15" s="0"/>
      <c r="BK15" s="0" t="s">
        <f>=HYPERLINK("https://www.wer-zu-wem.de/firmenprofilzwischenseite/troy-chemie-163294-6781-d580e46e8d.pdf", "https://www.wer-zu-wem.de/firmenprofilzwischenseite/troy-chemie-163294-6781-d580e46e8d.pdf")</f>
      </c>
      <c r="BL15" s="0" t="inlineStr">
        <is>
          <t>troy-chemie</t>
        </is>
      </c>
    </row>
    <row collapsed="false" customFormat="false" customHeight="false" hidden="false" ht="12.1" outlineLevel="0" r="16">
      <c r="A16" s="0" t="inlineStr">
        <is>
          <t>Zentrale</t>
        </is>
      </c>
      <c r="B16" s="0" t="s">
        <f>=HYPERLINK("https://www.wer-zu-wem.de/firmenprofilzwischenseite/einza-farben-176261-6781-733a9c6812.pdf", "einza-farben")</f>
      </c>
      <c r="C16" s="0" t="inlineStr">
        <is>
          <t>Industrie</t>
        </is>
      </c>
      <c r="D16" s="0" t="inlineStr">
        <is>
          <t>Chemieindustrie</t>
        </is>
      </c>
      <c r="E16" s="0" t="inlineStr">
        <is>
          <t>Farbenhersteller</t>
        </is>
      </c>
      <c r="F16" s="0" t="inlineStr">
        <is>
          <t>einzA Farben</t>
        </is>
      </c>
      <c r="G16" s="0" t="inlineStr">
        <is>
          <t>einzA Farben GmbH &amp; Co KG</t>
        </is>
      </c>
      <c r="H16" s="0"/>
      <c r="I16" s="0" t="inlineStr">
        <is>
          <t>Junkersstr. 13</t>
        </is>
      </c>
      <c r="J16" s="0" t="n">
        <v>30179</v>
      </c>
      <c r="K16" s="0" t="inlineStr">
        <is>
          <t>Hannover</t>
        </is>
      </c>
      <c r="L16" s="0" t="inlineStr">
        <is>
          <t>0511-674900</t>
        </is>
      </c>
      <c r="M16" s="0" t="inlineStr">
        <is>
          <t>0511-6749020</t>
        </is>
      </c>
      <c r="N16" s="0" t="inlineStr">
        <is>
          <t>Herr</t>
        </is>
      </c>
      <c r="O16" s="0"/>
      <c r="P16" s="0" t="inlineStr">
        <is>
          <t>Claus</t>
        </is>
      </c>
      <c r="Q16" s="0" t="inlineStr">
        <is>
          <t>Winkelvoss</t>
        </is>
      </c>
      <c r="R16" s="0" t="inlineStr">
        <is>
          <t>Herr</t>
        </is>
      </c>
      <c r="S16" s="0"/>
      <c r="T16" s="0" t="inlineStr">
        <is>
          <t>Kai</t>
        </is>
      </c>
      <c r="U16" s="0" t="inlineStr">
        <is>
          <t>Winkelvoss</t>
        </is>
      </c>
      <c r="V16" s="0" t="inlineStr">
        <is>
          <t>Herr</t>
        </is>
      </c>
      <c r="W16" s="0"/>
      <c r="X16" s="0" t="inlineStr">
        <is>
          <t>Birger</t>
        </is>
      </c>
      <c r="Y16" s="0" t="inlineStr">
        <is>
          <t>Winkelvoss</t>
        </is>
      </c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 t="inlineStr">
        <is>
          <t>info@einza.com</t>
        </is>
      </c>
      <c r="AM16" s="0" t="s">
        <f>=HYPERLINK("https://www.einza.com/", "https://www.einza.com/")</f>
      </c>
      <c r="AN16" s="0"/>
      <c r="AO16" s="0"/>
      <c r="AP16" s="0" t="inlineStr">
        <is>
          <t>Familie Winkelvoss</t>
        </is>
      </c>
      <c r="AQ16" s="0" t="inlineStr">
        <is>
          <t>Familien</t>
        </is>
      </c>
      <c r="AR16" s="0"/>
      <c r="AS16" s="0" t="n">
        <v>1894</v>
      </c>
      <c r="AT16" s="0"/>
      <c r="AU16" s="0"/>
      <c r="AV16" s="0"/>
      <c r="AW16" s="0" t="n">
        <v>0</v>
      </c>
      <c r="AX16" s="0" t="inlineStr">
        <is>
          <t>H 10-49</t>
        </is>
      </c>
      <c r="AY16" s="0" t="n">
        <v>0</v>
      </c>
      <c r="AZ16" s="0" t="inlineStr">
        <is>
          <t>Bis 10</t>
        </is>
      </c>
      <c r="BA16" s="0" t="n">
        <v>0</v>
      </c>
      <c r="BB16" s="0"/>
      <c r="BC16" s="0"/>
      <c r="BD16" s="0" t="n">
        <v>176261</v>
      </c>
      <c r="BE16" s="0" t="inlineStr">
        <is>
          <t>DE929</t>
        </is>
      </c>
      <c r="BF16" s="0" t="inlineStr">
        <is>
          <t>Niedersachsen</t>
        </is>
      </c>
      <c r="BG16" s="0"/>
      <c r="BH16" s="0" t="inlineStr">
        <is>
          <t>Hannover</t>
        </is>
      </c>
      <c r="BI16" s="0"/>
      <c r="BJ16" s="0"/>
      <c r="BK16" s="0" t="s">
        <f>=HYPERLINK("https://www.wer-zu-wem.de/firmenprofilzwischenseite/einza-farben-176261-6781-733a9c6812.pdf", "https://www.wer-zu-wem.de/firmenprofilzwischenseite/einza-farben-176261-6781-733a9c6812.pdf")</f>
      </c>
      <c r="BL16" s="0" t="inlineStr">
        <is>
          <t>einza-farben</t>
        </is>
      </c>
    </row>
    <row collapsed="false" customFormat="false" customHeight="false" hidden="false" ht="12.1" outlineLevel="0" r="17">
      <c r="A17" s="0" t="inlineStr">
        <is>
          <t>Zentrale</t>
        </is>
      </c>
      <c r="B17" s="0" t="s">
        <f>=HYPERLINK("https://www.wer-zu-wem.de/firmenprofilzwischenseite/wernicke-lack-196789-6781-255f8402ef.pdf", "wernicke-lack")</f>
      </c>
      <c r="C17" s="0" t="inlineStr">
        <is>
          <t>Industrie</t>
        </is>
      </c>
      <c r="D17" s="0" t="inlineStr">
        <is>
          <t>Chemieindustrie</t>
        </is>
      </c>
      <c r="E17" s="0" t="inlineStr">
        <is>
          <t>Farbenhersteller</t>
        </is>
      </c>
      <c r="F17" s="0" t="inlineStr">
        <is>
          <t>Wernecke Lack-Chemie</t>
        </is>
      </c>
      <c r="G17" s="0" t="inlineStr">
        <is>
          <t>WERNICKE LACK-CHEMIE GmbH.</t>
        </is>
      </c>
      <c r="H17" s="0"/>
      <c r="I17" s="0" t="inlineStr">
        <is>
          <t>Krümmeweg 2</t>
        </is>
      </c>
      <c r="J17" s="0" t="n">
        <v>31552</v>
      </c>
      <c r="K17" s="0" t="inlineStr">
        <is>
          <t>Rodenberg</t>
        </is>
      </c>
      <c r="L17" s="0" t="inlineStr">
        <is>
          <t>05723-7408-0</t>
        </is>
      </c>
      <c r="M17" s="0" t="inlineStr">
        <is>
          <t>05723-7408-20</t>
        </is>
      </c>
      <c r="N17" s="0" t="inlineStr">
        <is>
          <t>Herr</t>
        </is>
      </c>
      <c r="O17" s="0"/>
      <c r="P17" s="0" t="inlineStr">
        <is>
          <t>Thorsten</t>
        </is>
      </c>
      <c r="Q17" s="0" t="inlineStr">
        <is>
          <t>Wernicke</t>
        </is>
      </c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 t="inlineStr">
        <is>
          <t>wero@wernicke-lack-chemie.de</t>
        </is>
      </c>
      <c r="AM17" s="0" t="s">
        <f>=HYPERLINK("https://www.wernicke-lack-chemie.de/", "https://www.wernicke-lack-chemie.de/")</f>
      </c>
      <c r="AN17" s="0"/>
      <c r="AO17" s="0" t="inlineStr">
        <is>
          <t>Nein</t>
        </is>
      </c>
      <c r="AP17" s="0" t="inlineStr">
        <is>
          <t>Familie Wernicke Rodenberg</t>
        </is>
      </c>
      <c r="AQ17" s="0" t="inlineStr">
        <is>
          <t>Familien</t>
        </is>
      </c>
      <c r="AR17" s="0"/>
      <c r="AS17" s="0"/>
      <c r="AT17" s="0"/>
      <c r="AU17" s="0" t="inlineStr">
        <is>
          <t>DE811355112</t>
        </is>
      </c>
      <c r="AV17" s="0"/>
      <c r="AW17" s="0" t="n">
        <v>0</v>
      </c>
      <c r="AX17" s="0" t="inlineStr">
        <is>
          <t>H 10-49</t>
        </is>
      </c>
      <c r="AY17" s="0" t="n">
        <v>19</v>
      </c>
      <c r="AZ17" s="0" t="inlineStr">
        <is>
          <t>Bis 10</t>
        </is>
      </c>
      <c r="BA17" s="0" t="n">
        <v>0</v>
      </c>
      <c r="BB17" s="0"/>
      <c r="BC17" s="0"/>
      <c r="BD17" s="0" t="n">
        <v>196789</v>
      </c>
      <c r="BE17" s="0" t="inlineStr">
        <is>
          <t>DE928</t>
        </is>
      </c>
      <c r="BF17" s="0" t="inlineStr">
        <is>
          <t>Niedersachsen</t>
        </is>
      </c>
      <c r="BG17" s="0"/>
      <c r="BH17" s="0" t="inlineStr">
        <is>
          <t>Schaumburg</t>
        </is>
      </c>
      <c r="BI17" s="0"/>
      <c r="BJ17" s="0"/>
      <c r="BK17" s="0" t="s">
        <f>=HYPERLINK("https://www.wer-zu-wem.de/firmenprofilzwischenseite/wernicke-lack-196789-6781-255f8402ef.pdf", "https://www.wer-zu-wem.de/firmenprofilzwischenseite/wernicke-lack-196789-6781-255f8402ef.pdf")</f>
      </c>
      <c r="BL17" s="0" t="inlineStr">
        <is>
          <t>wernicke-lack</t>
        </is>
      </c>
    </row>
    <row collapsed="false" customFormat="false" customHeight="false" hidden="false" ht="12.1" outlineLevel="0" r="18">
      <c r="A18" s="0" t="inlineStr">
        <is>
          <t>Zentrale</t>
        </is>
      </c>
      <c r="B18" s="0" t="s">
        <f>=HYPERLINK("https://www.wer-zu-wem.de/firmenprofilzwischenseite/auro-197327-6781-50ff032a3c.pdf", "auro")</f>
      </c>
      <c r="C18" s="0" t="inlineStr">
        <is>
          <t>Industrie</t>
        </is>
      </c>
      <c r="D18" s="0" t="inlineStr">
        <is>
          <t>Chemieindustrie</t>
        </is>
      </c>
      <c r="E18" s="0" t="inlineStr">
        <is>
          <t>Farbenhersteller</t>
        </is>
      </c>
      <c r="F18" s="0" t="inlineStr">
        <is>
          <t>Auro Pflanzenchemie</t>
        </is>
      </c>
      <c r="G18" s="0" t="inlineStr">
        <is>
          <t>AURO Pflanzenchemie Aktiengesellschaft</t>
        </is>
      </c>
      <c r="H18" s="0"/>
      <c r="I18" s="0" t="inlineStr">
        <is>
          <t>Alte Frankfurter Str. 211</t>
        </is>
      </c>
      <c r="J18" s="0" t="n">
        <v>38122</v>
      </c>
      <c r="K18" s="0" t="inlineStr">
        <is>
          <t>Braunschweig</t>
        </is>
      </c>
      <c r="L18" s="0" t="inlineStr">
        <is>
          <t>0531-28141-0</t>
        </is>
      </c>
      <c r="M18" s="0" t="inlineStr">
        <is>
          <t>0531-28141-72</t>
        </is>
      </c>
      <c r="N18" s="0" t="inlineStr">
        <is>
          <t>Herr</t>
        </is>
      </c>
      <c r="O18" s="0"/>
      <c r="P18" s="0" t="inlineStr">
        <is>
          <t>Edwin</t>
        </is>
      </c>
      <c r="Q18" s="0" t="inlineStr">
        <is>
          <t>Hribek</t>
        </is>
      </c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 t="inlineStr">
        <is>
          <t>info@auro.de</t>
        </is>
      </c>
      <c r="AM18" s="0" t="s">
        <f>=HYPERLINK("https://auro.de/", "https://auro.de/")</f>
      </c>
      <c r="AN18" s="0"/>
      <c r="AO18" s="0" t="inlineStr">
        <is>
          <t>Nein</t>
        </is>
      </c>
      <c r="AP18" s="0" t="inlineStr">
        <is>
          <t>Familie Hribek</t>
        </is>
      </c>
      <c r="AQ18" s="0" t="inlineStr">
        <is>
          <t>Familien</t>
        </is>
      </c>
      <c r="AR18" s="0"/>
      <c r="AS18" s="0"/>
      <c r="AT18" s="0"/>
      <c r="AU18" s="0" t="inlineStr">
        <is>
          <t>DE114813597</t>
        </is>
      </c>
      <c r="AV18" s="0"/>
      <c r="AW18" s="0" t="n">
        <v>0</v>
      </c>
      <c r="AX18" s="0" t="inlineStr">
        <is>
          <t>H 10-49</t>
        </is>
      </c>
      <c r="AY18" s="0" t="n">
        <v>45</v>
      </c>
      <c r="AZ18" s="0" t="inlineStr">
        <is>
          <t>Bis 10</t>
        </is>
      </c>
      <c r="BA18" s="0" t="n">
        <v>0</v>
      </c>
      <c r="BB18" s="0"/>
      <c r="BC18" s="0"/>
      <c r="BD18" s="0" t="n">
        <v>197327</v>
      </c>
      <c r="BE18" s="0" t="inlineStr">
        <is>
          <t>DE911</t>
        </is>
      </c>
      <c r="BF18" s="0" t="inlineStr">
        <is>
          <t>Niedersachsen</t>
        </is>
      </c>
      <c r="BG18" s="0"/>
      <c r="BH18" s="0" t="inlineStr">
        <is>
          <t>Braunschweig</t>
        </is>
      </c>
      <c r="BI18" s="0"/>
      <c r="BJ18" s="0"/>
      <c r="BK18" s="0" t="s">
        <f>=HYPERLINK("https://www.wer-zu-wem.de/firmenprofilzwischenseite/auro-197327-6781-50ff032a3c.pdf", "https://www.wer-zu-wem.de/firmenprofilzwischenseite/auro-197327-6781-50ff032a3c.pdf")</f>
      </c>
      <c r="BL18" s="0" t="inlineStr">
        <is>
          <t>auro</t>
        </is>
      </c>
    </row>
    <row collapsed="false" customFormat="false" customHeight="false" hidden="false" ht="12.1" outlineLevel="0" r="19">
      <c r="A19" s="0" t="inlineStr">
        <is>
          <t>Zentrale</t>
        </is>
      </c>
      <c r="B19" s="0" t="s">
        <f>=HYPERLINK("https://www.wer-zu-wem.de/firmenprofilzwischenseite/sunchemicalorsterode-201064-6781-59579252ee.pdf", "sunchemicalorsterode")</f>
      </c>
      <c r="C19" s="0" t="inlineStr">
        <is>
          <t>Industrie</t>
        </is>
      </c>
      <c r="D19" s="0" t="inlineStr">
        <is>
          <t>Chemieindustrie</t>
        </is>
      </c>
      <c r="E19" s="0" t="inlineStr">
        <is>
          <t>Farbenhersteller</t>
        </is>
      </c>
      <c r="F19" s="0" t="inlineStr">
        <is>
          <t>Sun Chemical Osterode Druckfarben</t>
        </is>
      </c>
      <c r="G19" s="0" t="inlineStr">
        <is>
          <t>Sun Chemical Osterode Druckfarben GmbH</t>
        </is>
      </c>
      <c r="H19" s="0"/>
      <c r="I19" s="0" t="inlineStr">
        <is>
          <t>Rolandsweg 22-24</t>
        </is>
      </c>
      <c r="J19" s="0" t="n">
        <v>37520</v>
      </c>
      <c r="K19" s="0" t="inlineStr">
        <is>
          <t>Osterode am Harz</t>
        </is>
      </c>
      <c r="L19" s="0" t="inlineStr">
        <is>
          <t>05522-8606-0</t>
        </is>
      </c>
      <c r="M19" s="0"/>
      <c r="N19" s="0" t="inlineStr">
        <is>
          <t>Herr</t>
        </is>
      </c>
      <c r="O19" s="0"/>
      <c r="P19" s="0" t="inlineStr">
        <is>
          <t>Dirk</t>
        </is>
      </c>
      <c r="Q19" s="0" t="inlineStr">
        <is>
          <t>Lambrecht</t>
        </is>
      </c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 t="inlineStr">
        <is>
          <t>defr-commercial@sunchemical.com</t>
        </is>
      </c>
      <c r="AM19" s="0" t="s">
        <f>=HYPERLINK("http://www.sunchemical.com", "http://www.sunchemical.com")</f>
      </c>
      <c r="AN19" s="0"/>
      <c r="AO19" s="0" t="inlineStr">
        <is>
          <t>Nein</t>
        </is>
      </c>
      <c r="AP19" s="0" t="inlineStr">
        <is>
          <t>DIC Group (Japan)</t>
        </is>
      </c>
      <c r="AQ19" s="0" t="inlineStr">
        <is>
          <t>Sonstige</t>
        </is>
      </c>
      <c r="AR19" s="0"/>
      <c r="AS19" s="0"/>
      <c r="AT19" s="0"/>
      <c r="AU19" s="0" t="inlineStr">
        <is>
          <t>DE811174552</t>
        </is>
      </c>
      <c r="AV19" s="0"/>
      <c r="AW19" s="0" t="n">
        <v>0</v>
      </c>
      <c r="AX19" s="0" t="inlineStr">
        <is>
          <t>F 100-249</t>
        </is>
      </c>
      <c r="AY19" s="0" t="n">
        <v>107</v>
      </c>
      <c r="AZ19" s="0" t="inlineStr">
        <is>
          <t>10 - 50</t>
        </is>
      </c>
      <c r="BA19" s="0" t="n">
        <v>0</v>
      </c>
      <c r="BB19" s="0"/>
      <c r="BC19" s="0"/>
      <c r="BD19" s="0" t="n">
        <v>201064</v>
      </c>
      <c r="BE19" s="0" t="inlineStr">
        <is>
          <t>DE915</t>
        </is>
      </c>
      <c r="BF19" s="0" t="inlineStr">
        <is>
          <t>Niedersachsen</t>
        </is>
      </c>
      <c r="BG19" s="0"/>
      <c r="BH19" s="0" t="inlineStr">
        <is>
          <t>Göttingen</t>
        </is>
      </c>
      <c r="BI19" s="0"/>
      <c r="BJ19" s="0"/>
      <c r="BK19" s="0" t="s">
        <f>=HYPERLINK("https://www.wer-zu-wem.de/firmenprofilzwischenseite/sunchemicalorsterode-201064-6781-59579252ee.pdf", "https://www.wer-zu-wem.de/firmenprofilzwischenseite/sunchemicalorsterode-201064-6781-59579252ee.pdf")</f>
      </c>
      <c r="BL19" s="0" t="inlineStr">
        <is>
          <t>sunchemicalorsterode</t>
        </is>
      </c>
    </row>
    <row collapsed="false" customFormat="false" customHeight="false" hidden="false" ht="12.1" outlineLevel="0" r="20">
      <c r="A20" s="0" t="inlineStr">
        <is>
          <t>Zentrale</t>
        </is>
      </c>
      <c r="B20" s="0" t="s">
        <f>=HYPERLINK("https://www.wer-zu-wem.de/firmenprofilzwischenseite/norix-203868-6781-455d75633a.pdf", "norix")</f>
      </c>
      <c r="C20" s="0" t="inlineStr">
        <is>
          <t>Industrie</t>
        </is>
      </c>
      <c r="D20" s="0" t="inlineStr">
        <is>
          <t>Chemieindustrie</t>
        </is>
      </c>
      <c r="E20" s="0" t="inlineStr">
        <is>
          <t>Farbenhersteller</t>
        </is>
      </c>
      <c r="F20" s="0" t="inlineStr">
        <is>
          <t>Norix Lackfabrik</t>
        </is>
      </c>
      <c r="G20" s="0" t="inlineStr">
        <is>
          <t>Norix Lackfabrik GmbH &amp; Co. KG</t>
        </is>
      </c>
      <c r="H20" s="0"/>
      <c r="I20" s="0" t="inlineStr">
        <is>
          <t>Westerveseder Landstr. 1</t>
        </is>
      </c>
      <c r="J20" s="0" t="n">
        <v>27383</v>
      </c>
      <c r="K20" s="0" t="inlineStr">
        <is>
          <t>Scheeßel</t>
        </is>
      </c>
      <c r="L20" s="0" t="inlineStr">
        <is>
          <t>040-75103-0</t>
        </is>
      </c>
      <c r="M20" s="0" t="inlineStr">
        <is>
          <t>040-75103376</t>
        </is>
      </c>
      <c r="N20" s="0" t="inlineStr">
        <is>
          <t>Herr</t>
        </is>
      </c>
      <c r="O20" s="0"/>
      <c r="P20" s="0" t="inlineStr">
        <is>
          <t>Michael O.</t>
        </is>
      </c>
      <c r="Q20" s="0" t="inlineStr">
        <is>
          <t>Grau</t>
        </is>
      </c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 t="inlineStr">
        <is>
          <t>norix@mankiewicz.de</t>
        </is>
      </c>
      <c r="AM20" s="0" t="s">
        <f>=HYPERLINK("https://www.schuppenpanzer.com/", "https://www.schuppenpanzer.com/")</f>
      </c>
      <c r="AN20" s="0"/>
      <c r="AO20" s="0" t="inlineStr">
        <is>
          <t>Nein</t>
        </is>
      </c>
      <c r="AP20" s="0" t="inlineStr">
        <is>
          <t>Grau Familie</t>
        </is>
      </c>
      <c r="AQ20" s="0" t="inlineStr">
        <is>
          <t>Familien</t>
        </is>
      </c>
      <c r="AR20" s="0"/>
      <c r="AS20" s="0"/>
      <c r="AT20" s="0"/>
      <c r="AU20" s="0" t="inlineStr">
        <is>
          <t>DE811162381</t>
        </is>
      </c>
      <c r="AV20" s="0"/>
      <c r="AW20" s="0" t="n">
        <v>0</v>
      </c>
      <c r="AX20" s="0" t="inlineStr">
        <is>
          <t>H 10-49</t>
        </is>
      </c>
      <c r="AY20" s="0" t="n">
        <v>0</v>
      </c>
      <c r="AZ20" s="0" t="inlineStr">
        <is>
          <t>Bis 10</t>
        </is>
      </c>
      <c r="BA20" s="0" t="n">
        <v>0</v>
      </c>
      <c r="BB20" s="0"/>
      <c r="BC20" s="0"/>
      <c r="BD20" s="0" t="n">
        <v>203868</v>
      </c>
      <c r="BE20" s="0" t="inlineStr">
        <is>
          <t>DE937</t>
        </is>
      </c>
      <c r="BF20" s="0" t="inlineStr">
        <is>
          <t>Niedersachsen</t>
        </is>
      </c>
      <c r="BG20" s="0"/>
      <c r="BH20" s="0" t="inlineStr">
        <is>
          <t>Rotenburg (Wümme)</t>
        </is>
      </c>
      <c r="BI20" s="0"/>
      <c r="BJ20" s="0"/>
      <c r="BK20" s="0" t="s">
        <f>=HYPERLINK("https://www.wer-zu-wem.de/firmenprofilzwischenseite/norix-203868-6781-455d75633a.pdf", "https://www.wer-zu-wem.de/firmenprofilzwischenseite/norix-203868-6781-455d75633a.pdf")</f>
      </c>
      <c r="BL20" s="0" t="inlineStr">
        <is>
          <t>norix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2026-01-02T21:20:27.00Z</dcterms:created>
  <dc:title/>
  <dc:subject/>
  <dc:creator/>
  <dc:description/>
  <cp:revision>0</cp:revision>
</cp:coreProperties>
</file>